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1.xml" ContentType="application/vnd.openxmlformats-officedocument.drawing+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drawings/drawing2.xml" ContentType="application/vnd.openxmlformats-officedocument.drawing+xml"/>
  <Override PartName="/xl/worksheets/sheet16.xml" ContentType="application/vnd.openxmlformats-officedocument.spreadsheetml.worksheet+xml"/>
  <Override PartName="/xl/drawings/drawing3.xml" ContentType="application/vnd.openxmlformats-officedocument.drawing+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ÍCIO" sheetId="1" state="visible" r:id="rId1"/>
    <sheet xmlns:r="http://schemas.openxmlformats.org/officeDocument/2006/relationships" name="Listas" sheetId="2" state="hidden" r:id="rId2"/>
    <sheet xmlns:r="http://schemas.openxmlformats.org/officeDocument/2006/relationships" name="Nível 1-100" sheetId="3" state="visible" r:id="rId3"/>
    <sheet xmlns:r="http://schemas.openxmlformats.org/officeDocument/2006/relationships" name="Rota por Fase" sheetId="4" state="visible" r:id="rId4"/>
    <sheet xmlns:r="http://schemas.openxmlformats.org/officeDocument/2006/relationships" name="Skills &amp; Supports" sheetId="5" state="visible" r:id="rId5"/>
    <sheet xmlns:r="http://schemas.openxmlformats.org/officeDocument/2006/relationships" name="Gear" sheetId="6" state="visible" r:id="rId6"/>
    <sheet xmlns:r="http://schemas.openxmlformats.org/officeDocument/2006/relationships" name="Spirit Planner" sheetId="7" state="visible" r:id="rId7"/>
    <sheet xmlns:r="http://schemas.openxmlformats.org/officeDocument/2006/relationships" name="Companions &amp; Beasts" sheetId="8" state="visible" r:id="rId8"/>
    <sheet xmlns:r="http://schemas.openxmlformats.org/officeDocument/2006/relationships" name="Ascendência &amp; Árvore" sheetId="9" state="visible" r:id="rId9"/>
    <sheet xmlns:r="http://schemas.openxmlformats.org/officeDocument/2006/relationships" name="Quests" sheetId="10" state="visible" r:id="rId10"/>
    <sheet xmlns:r="http://schemas.openxmlformats.org/officeDocument/2006/relationships" name="Tricks Pro" sheetId="11" state="visible" r:id="rId11"/>
    <sheet xmlns:r="http://schemas.openxmlformats.org/officeDocument/2006/relationships" name="Diagnóstico" sheetId="12" state="visible" r:id="rId12"/>
    <sheet xmlns:r="http://schemas.openxmlformats.org/officeDocument/2006/relationships" name="Atlas" sheetId="13" state="visible" r:id="rId13"/>
    <sheet xmlns:r="http://schemas.openxmlformats.org/officeDocument/2006/relationships" name="Otimizações &amp; Meta" sheetId="14" state="visible" r:id="rId14"/>
    <sheet xmlns:r="http://schemas.openxmlformats.org/officeDocument/2006/relationships" name="Uniques" sheetId="15" state="visible" r:id="rId15"/>
    <sheet xmlns:r="http://schemas.openxmlformats.org/officeDocument/2006/relationships" name="Passivas &amp; Itens" sheetId="16" state="visible" r:id="rId16"/>
    <sheet xmlns:r="http://schemas.openxmlformats.org/officeDocument/2006/relationships" name="Fontes" sheetId="17" state="visible" r:id="rId17"/>
  </sheets>
  <definedNames>
    <definedName name="_xlnm._FilterDatabase" localSheetId="2" hidden="1">'Nível 1-100'!$A$3:$H$103</definedName>
    <definedName name="_xlnm._FilterDatabase" localSheetId="4" hidden="1">'Skills &amp; Supports'!$A$3:$J$80</definedName>
    <definedName name="_xlnm._FilterDatabase" localSheetId="9" hidden="1">'Quests'!$A$3:$F$32</definedName>
    <definedName name="_xlnm._FilterDatabase" localSheetId="10" hidden="1">'Tricks Pro'!$A$3:$D$39</definedName>
    <definedName name="_xlnm._FilterDatabase" localSheetId="14" hidden="1">'Uniques'!$A$3:$J$49</definedName>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00"/>
  </numFmts>
  <fonts count="22">
    <font>
      <name val="Calibri"/>
      <family val="2"/>
      <color theme="1"/>
      <sz val="11"/>
      <scheme val="minor"/>
    </font>
    <font>
      <name val="Arial"/>
      <b val="1"/>
      <color rgb="00FFFFFF"/>
      <sz val="18"/>
    </font>
    <font>
      <name val="Arial"/>
      <i val="1"/>
      <color rgb="00CFE3DC"/>
      <sz val="10"/>
    </font>
    <font>
      <name val="Arial"/>
      <b val="1"/>
      <color rgb="00FFFFFF"/>
      <sz val="12"/>
    </font>
    <font>
      <name val="Arial"/>
      <b val="1"/>
      <color rgb="001F2A27"/>
      <sz val="10"/>
    </font>
    <font>
      <name val="Arial"/>
      <b val="1"/>
      <color rgb="000000FF"/>
      <sz val="12"/>
    </font>
    <font>
      <name val="Arial"/>
      <color rgb="001F2A27"/>
      <sz val="11"/>
    </font>
    <font>
      <name val="Arial"/>
      <b val="1"/>
      <color rgb="003E9E86"/>
      <sz val="14"/>
    </font>
    <font>
      <name val="Arial"/>
      <b val="1"/>
      <color rgb="00FFFFFF"/>
      <sz val="10"/>
    </font>
    <font>
      <name val="Arial"/>
      <color rgb="001F2A27"/>
      <sz val="10"/>
    </font>
    <font>
      <name val="Arial"/>
      <color rgb="00AAAAAA"/>
      <sz val="8"/>
    </font>
    <font>
      <name val="Arial"/>
      <b val="1"/>
      <color rgb="003E9E86"/>
      <sz val="10"/>
    </font>
    <font>
      <name val="Arial"/>
      <i val="1"/>
      <color rgb="005E6B67"/>
      <sz val="10"/>
    </font>
    <font>
      <name val="Arial"/>
      <b val="1"/>
      <color rgb="00B84A3A"/>
      <sz val="10"/>
    </font>
    <font>
      <name val="Arial"/>
      <b val="1"/>
      <color rgb="00008000"/>
      <sz val="10"/>
    </font>
    <font>
      <name val="Arial"/>
      <b val="1"/>
      <color rgb="000000FF"/>
      <sz val="10"/>
    </font>
    <font>
      <name val="Arial"/>
      <color rgb="000000FF"/>
      <sz val="10"/>
    </font>
    <font>
      <name val="Arial"/>
      <b val="1"/>
      <color rgb="001F2A27"/>
      <sz val="12"/>
    </font>
    <font>
      <name val="Arial"/>
      <b val="1"/>
      <color rgb="00C98E2B"/>
      <sz val="10"/>
    </font>
    <font>
      <name val="Arial"/>
      <b val="1"/>
      <color rgb="00AF6025"/>
      <sz val="10"/>
    </font>
    <font>
      <name val="Arial"/>
      <b val="1"/>
      <color rgb="002E7D5B"/>
      <sz val="10"/>
    </font>
    <font>
      <name val="Arial"/>
      <color rgb="001F5FBF"/>
      <sz val="10"/>
      <u val="single"/>
    </font>
  </fonts>
  <fills count="9">
    <fill>
      <patternFill/>
    </fill>
    <fill>
      <patternFill patternType="gray125"/>
    </fill>
    <fill>
      <patternFill patternType="solid">
        <fgColor rgb="0013201C"/>
      </patternFill>
    </fill>
    <fill>
      <patternFill patternType="solid">
        <fgColor rgb="00C98E2B"/>
      </patternFill>
    </fill>
    <fill>
      <patternFill patternType="solid">
        <fgColor rgb="00FFF4C2"/>
      </patternFill>
    </fill>
    <fill>
      <patternFill patternType="solid">
        <fgColor rgb="003E9E86"/>
      </patternFill>
    </fill>
    <fill>
      <patternFill patternType="solid">
        <fgColor rgb="001B2B26"/>
      </patternFill>
    </fill>
    <fill>
      <patternFill patternType="solid">
        <fgColor rgb="00B84A3A"/>
      </patternFill>
    </fill>
    <fill>
      <patternFill patternType="solid">
        <fgColor rgb="00F7F8F5"/>
      </patternFill>
    </fill>
  </fills>
  <borders count="6">
    <border>
      <left/>
      <right/>
      <top/>
      <bottom/>
      <diagonal/>
    </border>
    <border>
      <left style="thin">
        <color rgb="00C9D3CF"/>
      </left>
      <right style="thin">
        <color rgb="00C9D3CF"/>
      </right>
      <top style="thin">
        <color rgb="00C9D3CF"/>
      </top>
      <bottom style="thin">
        <color rgb="00C9D3CF"/>
      </bottom>
    </border>
    <border>
      <left/>
      <right/>
      <top style="thin">
        <color rgb="00C9D3CF"/>
      </top>
      <bottom/>
      <diagonal/>
    </border>
    <border>
      <left/>
      <right style="thin">
        <color rgb="00C9D3CF"/>
      </right>
      <top style="thin">
        <color rgb="00C9D3CF"/>
      </top>
      <bottom/>
      <diagonal/>
    </border>
    <border>
      <left/>
      <right/>
      <top style="thin">
        <color rgb="00C9D3CF"/>
      </top>
      <bottom style="thin">
        <color rgb="00C9D3CF"/>
      </bottom>
      <diagonal/>
    </border>
    <border>
      <left/>
      <right style="thin">
        <color rgb="00C9D3CF"/>
      </right>
      <top style="thin">
        <color rgb="00C9D3CF"/>
      </top>
      <bottom style="thin">
        <color rgb="00C9D3CF"/>
      </bottom>
      <diagonal/>
    </border>
  </borders>
  <cellStyleXfs count="1">
    <xf numFmtId="0" fontId="0" fillId="0" borderId="0"/>
  </cellStyleXfs>
  <cellXfs count="60">
    <xf numFmtId="0" fontId="0" fillId="0" borderId="0" pivotButton="0" quotePrefix="0" xfId="0"/>
    <xf numFmtId="0" fontId="1" fillId="2" borderId="0" applyAlignment="1" pivotButton="0" quotePrefix="0" xfId="0">
      <alignment vertical="center" indent="1"/>
    </xf>
    <xf numFmtId="0" fontId="0" fillId="2" borderId="0" pivotButton="0" quotePrefix="0" xfId="0"/>
    <xf numFmtId="0" fontId="2" fillId="2" borderId="0" applyAlignment="1" pivotButton="0" quotePrefix="0" xfId="0">
      <alignment vertical="center" wrapText="1" indent="1"/>
    </xf>
    <xf numFmtId="0" fontId="3" fillId="3" borderId="0" applyAlignment="1" pivotButton="0" quotePrefix="0" xfId="0">
      <alignment vertical="center" indent="1"/>
    </xf>
    <xf numFmtId="0" fontId="0" fillId="3" borderId="0" pivotButton="0" quotePrefix="0" xfId="0"/>
    <xf numFmtId="0" fontId="4" fillId="0" borderId="0" pivotButton="0" quotePrefix="0" xfId="0"/>
    <xf numFmtId="0" fontId="5" fillId="4" borderId="1" applyAlignment="1" pivotButton="0" quotePrefix="0" xfId="0">
      <alignment horizontal="center" vertical="center" wrapText="1"/>
    </xf>
    <xf numFmtId="0" fontId="4" fillId="0" borderId="1" pivotButton="0" quotePrefix="0" xfId="0"/>
    <xf numFmtId="0" fontId="7" fillId="0" borderId="1" applyAlignment="1" pivotButton="0" quotePrefix="0" xfId="0">
      <alignment vertical="center" wrapText="1"/>
    </xf>
    <xf numFmtId="0" fontId="0" fillId="0" borderId="1" pivotButton="0" quotePrefix="0" xfId="0"/>
    <xf numFmtId="0" fontId="6" fillId="0" borderId="1" applyAlignment="1" pivotButton="0" quotePrefix="0" xfId="0">
      <alignment vertical="center" wrapText="1"/>
    </xf>
    <xf numFmtId="9" fontId="6" fillId="0" borderId="1" applyAlignment="1" pivotButton="0" quotePrefix="0" xfId="0">
      <alignment vertical="center" wrapText="1"/>
    </xf>
    <xf numFmtId="0" fontId="3" fillId="5" borderId="0" applyAlignment="1" pivotButton="0" quotePrefix="0" xfId="0">
      <alignment vertical="center" indent="1"/>
    </xf>
    <xf numFmtId="0" fontId="0" fillId="5" borderId="0" pivotButton="0" quotePrefix="0" xfId="0"/>
    <xf numFmtId="0" fontId="8" fillId="6" borderId="1" applyAlignment="1" pivotButton="0" quotePrefix="0" xfId="0">
      <alignment horizontal="center" vertical="center" wrapText="1"/>
    </xf>
    <xf numFmtId="0" fontId="0" fillId="0" borderId="4" pivotButton="0" quotePrefix="0" xfId="0"/>
    <xf numFmtId="0" fontId="0" fillId="0" borderId="5" pivotButton="0" quotePrefix="0" xfId="0"/>
    <xf numFmtId="0" fontId="4" fillId="0" borderId="1" applyAlignment="1" pivotButton="0" quotePrefix="0" xfId="0">
      <alignment vertical="top" wrapText="1"/>
    </xf>
    <xf numFmtId="0" fontId="9" fillId="0" borderId="1" applyAlignment="1" pivotButton="0" quotePrefix="0" xfId="0">
      <alignment vertical="top" wrapText="1"/>
    </xf>
    <xf numFmtId="0" fontId="3" fillId="7" borderId="0" applyAlignment="1" pivotButton="0" quotePrefix="0" xfId="0">
      <alignment vertical="center" indent="1"/>
    </xf>
    <xf numFmtId="0" fontId="0" fillId="7" borderId="0" pivotButton="0" quotePrefix="0" xfId="0"/>
    <xf numFmtId="0" fontId="9" fillId="0" borderId="0" pivotButton="0" quotePrefix="0" xfId="0"/>
    <xf numFmtId="0" fontId="9" fillId="0" borderId="1" applyAlignment="1" pivotButton="0" quotePrefix="0" xfId="0">
      <alignment horizontal="center" vertical="center" wrapText="1"/>
    </xf>
    <xf numFmtId="0" fontId="10" fillId="0" borderId="0" pivotButton="0" quotePrefix="0" xfId="0"/>
    <xf numFmtId="0" fontId="9" fillId="8" borderId="1" applyAlignment="1" pivotButton="0" quotePrefix="0" xfId="0">
      <alignment horizontal="center" vertical="center" wrapText="1"/>
    </xf>
    <xf numFmtId="0" fontId="9" fillId="8" borderId="1" applyAlignment="1" pivotButton="0" quotePrefix="0" xfId="0">
      <alignment vertical="top" wrapText="1"/>
    </xf>
    <xf numFmtId="0" fontId="4" fillId="8" borderId="1" applyAlignment="1" pivotButton="0" quotePrefix="0" xfId="0">
      <alignment vertical="top" wrapText="1"/>
    </xf>
    <xf numFmtId="0" fontId="11" fillId="0" borderId="1" applyAlignment="1" pivotButton="0" quotePrefix="0" xfId="0">
      <alignment vertical="top" wrapText="1"/>
    </xf>
    <xf numFmtId="0" fontId="0" fillId="0" borderId="1" applyAlignment="1" pivotButton="0" quotePrefix="0" xfId="0">
      <alignment vertical="top" wrapText="1"/>
    </xf>
    <xf numFmtId="0" fontId="8" fillId="3" borderId="1" applyAlignment="1" pivotButton="0" quotePrefix="0" xfId="0">
      <alignment horizontal="center" vertical="center" wrapText="1"/>
    </xf>
    <xf numFmtId="0" fontId="0" fillId="0" borderId="0" applyAlignment="1" pivotButton="0" quotePrefix="0" xfId="0">
      <alignment vertical="top" wrapText="1"/>
    </xf>
    <xf numFmtId="0" fontId="12" fillId="0" borderId="0" pivotButton="0" quotePrefix="0" xfId="0"/>
    <xf numFmtId="0" fontId="11" fillId="8" borderId="1" applyAlignment="1" pivotButton="0" quotePrefix="0" xfId="0">
      <alignment vertical="top" wrapText="1"/>
    </xf>
    <xf numFmtId="0" fontId="13" fillId="0" borderId="1" applyAlignment="1" pivotButton="0" quotePrefix="0" xfId="0">
      <alignment vertical="top" wrapText="1"/>
    </xf>
    <xf numFmtId="0" fontId="14" fillId="0" borderId="1" applyAlignment="1" pivotButton="0" quotePrefix="0" xfId="0">
      <alignment horizontal="center" vertical="center" wrapText="1"/>
    </xf>
    <xf numFmtId="0" fontId="15" fillId="4" borderId="1" applyAlignment="1" pivotButton="0" quotePrefix="0" xfId="0">
      <alignment horizontal="center" vertical="center" wrapText="1"/>
    </xf>
    <xf numFmtId="9" fontId="15" fillId="4" borderId="1" applyAlignment="1" pivotButton="0" quotePrefix="0" xfId="0">
      <alignment horizontal="center" vertical="center" wrapText="1"/>
    </xf>
    <xf numFmtId="9" fontId="0" fillId="0" borderId="0" pivotButton="0" quotePrefix="0" xfId="0"/>
    <xf numFmtId="0" fontId="15" fillId="4" borderId="1" applyAlignment="1" pivotButton="0" quotePrefix="0" xfId="0">
      <alignment vertical="top" wrapText="1"/>
    </xf>
    <xf numFmtId="0" fontId="16" fillId="4" borderId="1" applyAlignment="1" pivotButton="0" quotePrefix="0" xfId="0">
      <alignment vertical="top" wrapText="1"/>
    </xf>
    <xf numFmtId="164" fontId="4" fillId="0" borderId="1" applyAlignment="1" pivotButton="0" quotePrefix="0" xfId="0">
      <alignment vertical="top" wrapText="1"/>
    </xf>
    <xf numFmtId="0" fontId="12" fillId="0" borderId="1" applyAlignment="1" pivotButton="0" quotePrefix="0" xfId="0">
      <alignment vertical="top" wrapText="1"/>
    </xf>
    <xf numFmtId="0" fontId="17" fillId="0" borderId="0" pivotButton="0" quotePrefix="0" xfId="0"/>
    <xf numFmtId="164" fontId="17" fillId="0" borderId="1" pivotButton="0" quotePrefix="0" xfId="0"/>
    <xf numFmtId="9" fontId="17" fillId="0" borderId="1" pivotButton="0" quotePrefix="0" xfId="0"/>
    <xf numFmtId="165" fontId="9" fillId="0" borderId="1" applyAlignment="1" pivotButton="0" quotePrefix="0" xfId="0">
      <alignment horizontal="center" vertical="center" wrapText="1"/>
    </xf>
    <xf numFmtId="0" fontId="18"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11" fillId="0" borderId="0" pivotButton="0" quotePrefix="0" xfId="0"/>
    <xf numFmtId="0" fontId="18" fillId="0" borderId="1" applyAlignment="1" pivotButton="0" quotePrefix="0" xfId="0">
      <alignment vertical="top" wrapText="1"/>
    </xf>
    <xf numFmtId="0" fontId="4" fillId="0" borderId="0" applyAlignment="1" pivotButton="0" quotePrefix="0" xfId="0">
      <alignment vertical="top" wrapText="1"/>
    </xf>
    <xf numFmtId="0" fontId="9" fillId="0" borderId="1" pivotButton="0" quotePrefix="0" xfId="0"/>
    <xf numFmtId="9" fontId="0" fillId="0" borderId="1" pivotButton="0" quotePrefix="0" xfId="0"/>
    <xf numFmtId="0" fontId="19" fillId="0" borderId="1" applyAlignment="1" pivotButton="0" quotePrefix="0" xfId="0">
      <alignment vertical="top" wrapText="1"/>
    </xf>
    <xf numFmtId="166" fontId="9" fillId="0" borderId="1" applyAlignment="1" pivotButton="0" quotePrefix="0" xfId="0">
      <alignment horizontal="center" vertical="center" wrapText="1"/>
    </xf>
    <xf numFmtId="9" fontId="9" fillId="0" borderId="1" applyAlignment="1" pivotButton="0" quotePrefix="0" xfId="0">
      <alignment horizontal="center" vertical="center" wrapText="1"/>
    </xf>
    <xf numFmtId="166" fontId="9" fillId="0" borderId="1" applyAlignment="1" pivotButton="0" quotePrefix="0" xfId="0">
      <alignment vertical="top" wrapText="1"/>
    </xf>
    <xf numFmtId="0" fontId="20" fillId="0" borderId="1" applyAlignment="1" pivotButton="0" quotePrefix="0" xfId="0">
      <alignment vertical="top" wrapText="1"/>
    </xf>
    <xf numFmtId="0" fontId="21" fillId="0" borderId="1" applyAlignment="1" pivotButton="0" quotePrefix="0" xfId="0">
      <alignment vertical="top" wrapText="1"/>
    </xf>
  </cellXfs>
  <cellStyles count="1">
    <cellStyle name="Normal" xfId="0" builtinId="0" hidden="0"/>
  </cellStyles>
  <dxfs count="7">
    <dxf>
      <font>
        <name val="Arial"/>
        <b val="1"/>
        <color rgb="007A5210"/>
      </font>
      <fill>
        <patternFill patternType="solid">
          <fgColor rgb="00FBEFD6"/>
        </patternFill>
      </fill>
    </dxf>
    <dxf>
      <font>
        <name val="Arial"/>
        <b val="1"/>
        <color rgb="002E7D5B"/>
      </font>
      <fill>
        <patternFill patternType="solid">
          <fgColor rgb="00DDF0E6"/>
        </patternFill>
      </fill>
    </dxf>
    <dxf>
      <fill>
        <patternFill patternType="solid">
          <fgColor rgb="00FBEFD6"/>
        </patternFill>
      </fill>
    </dxf>
    <dxf>
      <font>
        <name val="Arial"/>
        <b val="1"/>
        <color rgb="00B84A3A"/>
      </font>
      <fill>
        <patternFill patternType="solid">
          <fgColor rgb="00F6DDD8"/>
        </patternFill>
      </fill>
    </dxf>
    <dxf>
      <font>
        <name val="Arial"/>
        <strike val="1"/>
        <color rgb="009AA5A1"/>
      </font>
    </dxf>
    <dxf>
      <fill>
        <patternFill patternType="solid">
          <fgColor rgb="00DDF0E6"/>
        </patternFill>
      </fill>
    </dxf>
    <dxf>
      <fill>
        <patternFill patternType="solid">
          <fgColor rgb="00F6DD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comments/comment1.xml><?xml version="1.0" encoding="utf-8"?>
<comments xmlns="http://schemas.openxmlformats.org/spreadsheetml/2006/main">
  <authors>
    <author>Guia</author>
  </authors>
  <commentList>
    <comment ref="B5" authorId="0" shapeId="0">
      <text>
        <t>Digite seu nível (1–100). Todo o painel se ajusta.</t>
      </text>
    </comment>
    <comment ref="B7" authorId="0" shapeId="0">
      <text>
        <t>Valor mostrado no painel de personagem. Usado no Spirit Planner.</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s>
</file>

<file path=xl/drawings/_rels/drawing2.xml.rels><Relationships xmlns="http://schemas.openxmlformats.org/package/2006/relationships"><Relationship Type="http://schemas.openxmlformats.org/officeDocument/2006/relationships/image" Target="/xl/media/image5.png" Id="rId1"/><Relationship Type="http://schemas.openxmlformats.org/officeDocument/2006/relationships/image" Target="/xl/media/image6.png" Id="rId2"/><Relationship Type="http://schemas.openxmlformats.org/officeDocument/2006/relationships/image" Target="/xl/media/image7.png" Id="rId3"/><Relationship Type="http://schemas.openxmlformats.org/officeDocument/2006/relationships/image" Target="/xl/media/image8.png" Id="rId4"/><Relationship Type="http://schemas.openxmlformats.org/officeDocument/2006/relationships/image" Target="/xl/media/image9.png" Id="rId5"/><Relationship Type="http://schemas.openxmlformats.org/officeDocument/2006/relationships/image" Target="/xl/media/image10.png" Id="rId6"/><Relationship Type="http://schemas.openxmlformats.org/officeDocument/2006/relationships/image" Target="/xl/media/image11.png" Id="rId7"/><Relationship Type="http://schemas.openxmlformats.org/officeDocument/2006/relationships/image" Target="/xl/media/image12.png" Id="rId8"/><Relationship Type="http://schemas.openxmlformats.org/officeDocument/2006/relationships/image" Target="/xl/media/image13.png" Id="rId9"/><Relationship Type="http://schemas.openxmlformats.org/officeDocument/2006/relationships/image" Target="/xl/media/image14.png" Id="rId10"/><Relationship Type="http://schemas.openxmlformats.org/officeDocument/2006/relationships/image" Target="/xl/media/image15.png" Id="rId11"/><Relationship Type="http://schemas.openxmlformats.org/officeDocument/2006/relationships/image" Target="/xl/media/image16.png" Id="rId12"/><Relationship Type="http://schemas.openxmlformats.org/officeDocument/2006/relationships/image" Target="/xl/media/image17.png" Id="rId13"/><Relationship Type="http://schemas.openxmlformats.org/officeDocument/2006/relationships/image" Target="/xl/media/image18.png" Id="rId14"/><Relationship Type="http://schemas.openxmlformats.org/officeDocument/2006/relationships/image" Target="/xl/media/image19.png" Id="rId15"/><Relationship Type="http://schemas.openxmlformats.org/officeDocument/2006/relationships/image" Target="/xl/media/image20.png" Id="rId16"/><Relationship Type="http://schemas.openxmlformats.org/officeDocument/2006/relationships/image" Target="/xl/media/image21.png" Id="rId17"/><Relationship Type="http://schemas.openxmlformats.org/officeDocument/2006/relationships/image" Target="/xl/media/image22.png" Id="rId18"/><Relationship Type="http://schemas.openxmlformats.org/officeDocument/2006/relationships/image" Target="/xl/media/image23.png" Id="rId19"/><Relationship Type="http://schemas.openxmlformats.org/officeDocument/2006/relationships/image" Target="/xl/media/image24.png" Id="rId20"/><Relationship Type="http://schemas.openxmlformats.org/officeDocument/2006/relationships/image" Target="/xl/media/image25.png" Id="rId21"/><Relationship Type="http://schemas.openxmlformats.org/officeDocument/2006/relationships/image" Target="/xl/media/image26.png" Id="rId22"/><Relationship Type="http://schemas.openxmlformats.org/officeDocument/2006/relationships/image" Target="/xl/media/image27.png" Id="rId23"/><Relationship Type="http://schemas.openxmlformats.org/officeDocument/2006/relationships/image" Target="/xl/media/image28.png" Id="rId24"/><Relationship Type="http://schemas.openxmlformats.org/officeDocument/2006/relationships/image" Target="/xl/media/image29.png" Id="rId25"/><Relationship Type="http://schemas.openxmlformats.org/officeDocument/2006/relationships/image" Target="/xl/media/image30.png" Id="rId26"/><Relationship Type="http://schemas.openxmlformats.org/officeDocument/2006/relationships/image" Target="/xl/media/image31.png" Id="rId27"/><Relationship Type="http://schemas.openxmlformats.org/officeDocument/2006/relationships/image" Target="/xl/media/image32.png" Id="rId28"/><Relationship Type="http://schemas.openxmlformats.org/officeDocument/2006/relationships/image" Target="/xl/media/image33.png" Id="rId29"/><Relationship Type="http://schemas.openxmlformats.org/officeDocument/2006/relationships/image" Target="/xl/media/image34.png" Id="rId30"/><Relationship Type="http://schemas.openxmlformats.org/officeDocument/2006/relationships/image" Target="/xl/media/image35.png" Id="rId31"/><Relationship Type="http://schemas.openxmlformats.org/officeDocument/2006/relationships/image" Target="/xl/media/image36.png" Id="rId32"/><Relationship Type="http://schemas.openxmlformats.org/officeDocument/2006/relationships/image" Target="/xl/media/image37.png" Id="rId33"/><Relationship Type="http://schemas.openxmlformats.org/officeDocument/2006/relationships/image" Target="/xl/media/image38.png" Id="rId34"/><Relationship Type="http://schemas.openxmlformats.org/officeDocument/2006/relationships/image" Target="/xl/media/image39.png" Id="rId35"/><Relationship Type="http://schemas.openxmlformats.org/officeDocument/2006/relationships/image" Target="/xl/media/image40.png" Id="rId36"/><Relationship Type="http://schemas.openxmlformats.org/officeDocument/2006/relationships/image" Target="/xl/media/image41.png" Id="rId37"/><Relationship Type="http://schemas.openxmlformats.org/officeDocument/2006/relationships/image" Target="/xl/media/image42.png" Id="rId38"/><Relationship Type="http://schemas.openxmlformats.org/officeDocument/2006/relationships/image" Target="/xl/media/image43.png" Id="rId39"/><Relationship Type="http://schemas.openxmlformats.org/officeDocument/2006/relationships/image" Target="/xl/media/image44.png" Id="rId40"/><Relationship Type="http://schemas.openxmlformats.org/officeDocument/2006/relationships/image" Target="/xl/media/image45.png" Id="rId41"/><Relationship Type="http://schemas.openxmlformats.org/officeDocument/2006/relationships/image" Target="/xl/media/image46.png" Id="rId42"/><Relationship Type="http://schemas.openxmlformats.org/officeDocument/2006/relationships/image" Target="/xl/media/image47.png" Id="rId43"/><Relationship Type="http://schemas.openxmlformats.org/officeDocument/2006/relationships/image" Target="/xl/media/image48.png" Id="rId44"/><Relationship Type="http://schemas.openxmlformats.org/officeDocument/2006/relationships/image" Target="/xl/media/image49.png" Id="rId45"/><Relationship Type="http://schemas.openxmlformats.org/officeDocument/2006/relationships/image" Target="/xl/media/image50.png" Id="rId46"/><Relationship Type="http://schemas.openxmlformats.org/officeDocument/2006/relationships/image" Target="/xl/media/image51.png" Id="rId47"/><Relationship Type="http://schemas.openxmlformats.org/officeDocument/2006/relationships/image" Target="/xl/media/image52.png" Id="rId48"/><Relationship Type="http://schemas.openxmlformats.org/officeDocument/2006/relationships/image" Target="/xl/media/image53.png" Id="rId49"/><Relationship Type="http://schemas.openxmlformats.org/officeDocument/2006/relationships/image" Target="/xl/media/image54.png" Id="rId50"/><Relationship Type="http://schemas.openxmlformats.org/officeDocument/2006/relationships/image" Target="/xl/media/image55.png" Id="rId51"/></Relationships>
</file>

<file path=xl/drawings/_rels/drawing3.xml.rels><Relationships xmlns="http://schemas.openxmlformats.org/package/2006/relationships"><Relationship Type="http://schemas.openxmlformats.org/officeDocument/2006/relationships/image" Target="/xl/media/image56.png" Id="rId1"/><Relationship Type="http://schemas.openxmlformats.org/officeDocument/2006/relationships/image" Target="/xl/media/image57.png" Id="rId2"/><Relationship Type="http://schemas.openxmlformats.org/officeDocument/2006/relationships/image" Target="/xl/media/image58.png" Id="rId3"/><Relationship Type="http://schemas.openxmlformats.org/officeDocument/2006/relationships/image" Target="/xl/media/image59.png" Id="rId4"/><Relationship Type="http://schemas.openxmlformats.org/officeDocument/2006/relationships/image" Target="/xl/media/image60.png" Id="rId5"/><Relationship Type="http://schemas.openxmlformats.org/officeDocument/2006/relationships/image" Target="/xl/media/image61.png" Id="rId6"/><Relationship Type="http://schemas.openxmlformats.org/officeDocument/2006/relationships/image" Target="/xl/media/image62.png" Id="rId7"/><Relationship Type="http://schemas.openxmlformats.org/officeDocument/2006/relationships/image" Target="/xl/media/image63.png" Id="rId8"/><Relationship Type="http://schemas.openxmlformats.org/officeDocument/2006/relationships/image" Target="/xl/media/image64.png" Id="rId9"/><Relationship Type="http://schemas.openxmlformats.org/officeDocument/2006/relationships/image" Target="/xl/media/image65.png" Id="rId10"/><Relationship Type="http://schemas.openxmlformats.org/officeDocument/2006/relationships/image" Target="/xl/media/image66.png" Id="rId11"/><Relationship Type="http://schemas.openxmlformats.org/officeDocument/2006/relationships/image" Target="/xl/media/image67.png" Id="rId12"/><Relationship Type="http://schemas.openxmlformats.org/officeDocument/2006/relationships/image" Target="/xl/media/image68.png" Id="rId13"/><Relationship Type="http://schemas.openxmlformats.org/officeDocument/2006/relationships/image" Target="/xl/media/image69.png" Id="rId14"/><Relationship Type="http://schemas.openxmlformats.org/officeDocument/2006/relationships/image" Target="/xl/media/image70.png" Id="rId15"/><Relationship Type="http://schemas.openxmlformats.org/officeDocument/2006/relationships/image" Target="/xl/media/image71.png" Id="rId16"/><Relationship Type="http://schemas.openxmlformats.org/officeDocument/2006/relationships/image" Target="/xl/media/image72.png" Id="rId17"/><Relationship Type="http://schemas.openxmlformats.org/officeDocument/2006/relationships/image" Target="/xl/media/image73.png" Id="rId18"/><Relationship Type="http://schemas.openxmlformats.org/officeDocument/2006/relationships/image" Target="/xl/media/image74.png" Id="rId19"/><Relationship Type="http://schemas.openxmlformats.org/officeDocument/2006/relationships/image" Target="/xl/media/image75.png" Id="rId20"/><Relationship Type="http://schemas.openxmlformats.org/officeDocument/2006/relationships/image" Target="/xl/media/image76.png" Id="rId21"/><Relationship Type="http://schemas.openxmlformats.org/officeDocument/2006/relationships/image" Target="/xl/media/image77.png" Id="rId22"/><Relationship Type="http://schemas.openxmlformats.org/officeDocument/2006/relationships/image" Target="/xl/media/image78.png" Id="rId23"/><Relationship Type="http://schemas.openxmlformats.org/officeDocument/2006/relationships/image" Target="/xl/media/image79.png" Id="rId24"/><Relationship Type="http://schemas.openxmlformats.org/officeDocument/2006/relationships/image" Target="/xl/media/image80.png" Id="rId25"/><Relationship Type="http://schemas.openxmlformats.org/officeDocument/2006/relationships/image" Target="/xl/media/image81.png" Id="rId26"/><Relationship Type="http://schemas.openxmlformats.org/officeDocument/2006/relationships/image" Target="/xl/media/image82.png" Id="rId27"/><Relationship Type="http://schemas.openxmlformats.org/officeDocument/2006/relationships/image" Target="/xl/media/image83.png" Id="rId28"/><Relationship Type="http://schemas.openxmlformats.org/officeDocument/2006/relationships/image" Target="/xl/media/image84.png" Id="rId29"/><Relationship Type="http://schemas.openxmlformats.org/officeDocument/2006/relationships/image" Target="/xl/media/image85.png" Id="rId30"/><Relationship Type="http://schemas.openxmlformats.org/officeDocument/2006/relationships/image" Target="/xl/media/image86.png" Id="rId31"/><Relationship Type="http://schemas.openxmlformats.org/officeDocument/2006/relationships/image" Target="/xl/media/image87.png" Id="rId32"/><Relationship Type="http://schemas.openxmlformats.org/officeDocument/2006/relationships/image" Target="/xl/media/image88.png" Id="rId33"/><Relationship Type="http://schemas.openxmlformats.org/officeDocument/2006/relationships/image" Target="/xl/media/image89.png" Id="rId34"/><Relationship Type="http://schemas.openxmlformats.org/officeDocument/2006/relationships/image" Target="/xl/media/image90.png" Id="rId35"/><Relationship Type="http://schemas.openxmlformats.org/officeDocument/2006/relationships/image" Target="/xl/media/image91.png" Id="rId36"/><Relationship Type="http://schemas.openxmlformats.org/officeDocument/2006/relationships/image" Target="/xl/media/image92.png" Id="rId37"/><Relationship Type="http://schemas.openxmlformats.org/officeDocument/2006/relationships/image" Target="/xl/media/image93.png" Id="rId38"/><Relationship Type="http://schemas.openxmlformats.org/officeDocument/2006/relationships/image" Target="/xl/media/image94.png" Id="rId39"/><Relationship Type="http://schemas.openxmlformats.org/officeDocument/2006/relationships/image" Target="/xl/media/image95.png" Id="rId40"/><Relationship Type="http://schemas.openxmlformats.org/officeDocument/2006/relationships/image" Target="/xl/media/image96.png" Id="rId41"/><Relationship Type="http://schemas.openxmlformats.org/officeDocument/2006/relationships/image" Target="/xl/media/image97.png" Id="rId42"/><Relationship Type="http://schemas.openxmlformats.org/officeDocument/2006/relationships/image" Target="/xl/media/image98.png" Id="rId43"/><Relationship Type="http://schemas.openxmlformats.org/officeDocument/2006/relationships/image" Target="/xl/media/image99.png" Id="rId44"/><Relationship Type="http://schemas.openxmlformats.org/officeDocument/2006/relationships/image" Target="/xl/media/image100.png" Id="rId45"/><Relationship Type="http://schemas.openxmlformats.org/officeDocument/2006/relationships/image" Target="/xl/media/image101.png" Id="rId46"/><Relationship Type="http://schemas.openxmlformats.org/officeDocument/2006/relationships/image" Target="/xl/media/image102.png" Id="rId47"/><Relationship Type="http://schemas.openxmlformats.org/officeDocument/2006/relationships/image" Target="/xl/media/image103.png" Id="rId48"/><Relationship Type="http://schemas.openxmlformats.org/officeDocument/2006/relationships/image" Target="/xl/media/image104.png" Id="rId49"/><Relationship Type="http://schemas.openxmlformats.org/officeDocument/2006/relationships/image" Target="/xl/media/image105.png" Id="rId50"/><Relationship Type="http://schemas.openxmlformats.org/officeDocument/2006/relationships/image" Target="/xl/media/image106.png" Id="rId51"/><Relationship Type="http://schemas.openxmlformats.org/officeDocument/2006/relationships/image" Target="/xl/media/image107.png" Id="rId52"/><Relationship Type="http://schemas.openxmlformats.org/officeDocument/2006/relationships/image" Target="/xl/media/image108.png" Id="rId53"/><Relationship Type="http://schemas.openxmlformats.org/officeDocument/2006/relationships/image" Target="/xl/media/image109.png" Id="rId54"/><Relationship Type="http://schemas.openxmlformats.org/officeDocument/2006/relationships/image" Target="/xl/media/image110.png" Id="rId55"/><Relationship Type="http://schemas.openxmlformats.org/officeDocument/2006/relationships/image" Target="/xl/media/image111.png" Id="rId56"/><Relationship Type="http://schemas.openxmlformats.org/officeDocument/2006/relationships/image" Target="/xl/media/image112.png" Id="rId57"/><Relationship Type="http://schemas.openxmlformats.org/officeDocument/2006/relationships/image" Target="/xl/media/image113.png" Id="rId58"/><Relationship Type="http://schemas.openxmlformats.org/officeDocument/2006/relationships/image" Target="/xl/media/image114.png" Id="rId59"/><Relationship Type="http://schemas.openxmlformats.org/officeDocument/2006/relationships/image" Target="/xl/media/image115.png" Id="rId60"/><Relationship Type="http://schemas.openxmlformats.org/officeDocument/2006/relationships/image" Target="/xl/media/image116.png" Id="rId61"/><Relationship Type="http://schemas.openxmlformats.org/officeDocument/2006/relationships/image" Target="/xl/media/image117.png" Id="rId62"/><Relationship Type="http://schemas.openxmlformats.org/officeDocument/2006/relationships/image" Target="/xl/media/image118.png" Id="rId63"/><Relationship Type="http://schemas.openxmlformats.org/officeDocument/2006/relationships/image" Target="/xl/media/image119.png" Id="rId64"/><Relationship Type="http://schemas.openxmlformats.org/officeDocument/2006/relationships/image" Target="/xl/media/image120.png" Id="rId65"/><Relationship Type="http://schemas.openxmlformats.org/officeDocument/2006/relationships/image" Target="/xl/media/image121.png" Id="rId66"/><Relationship Type="http://schemas.openxmlformats.org/officeDocument/2006/relationships/image" Target="/xl/media/image122.png" Id="rId67"/><Relationship Type="http://schemas.openxmlformats.org/officeDocument/2006/relationships/image" Target="/xl/media/image123.png" Id="rId68"/><Relationship Type="http://schemas.openxmlformats.org/officeDocument/2006/relationships/image" Target="/xl/media/image124.png" Id="rId69"/><Relationship Type="http://schemas.openxmlformats.org/officeDocument/2006/relationships/image" Target="/xl/media/image125.png" Id="rId70"/><Relationship Type="http://schemas.openxmlformats.org/officeDocument/2006/relationships/image" Target="/xl/media/image126.png" Id="rId71"/><Relationship Type="http://schemas.openxmlformats.org/officeDocument/2006/relationships/image" Target="/xl/media/image127.png" Id="rId72"/><Relationship Type="http://schemas.openxmlformats.org/officeDocument/2006/relationships/image" Target="/xl/media/image128.png" Id="rId73"/><Relationship Type="http://schemas.openxmlformats.org/officeDocument/2006/relationships/image" Target="/xl/media/image129.png" Id="rId74"/><Relationship Type="http://schemas.openxmlformats.org/officeDocument/2006/relationships/image" Target="/xl/media/image130.png" Id="rId75"/><Relationship Type="http://schemas.openxmlformats.org/officeDocument/2006/relationships/image" Target="/xl/media/image131.png" Id="rId76"/><Relationship Type="http://schemas.openxmlformats.org/officeDocument/2006/relationships/image" Target="/xl/media/image132.png" Id="rId77"/><Relationship Type="http://schemas.openxmlformats.org/officeDocument/2006/relationships/image" Target="/xl/media/image133.png" Id="rId78"/><Relationship Type="http://schemas.openxmlformats.org/officeDocument/2006/relationships/image" Target="/xl/media/image134.png" Id="rId79"/><Relationship Type="http://schemas.openxmlformats.org/officeDocument/2006/relationships/image" Target="/xl/media/image135.png" Id="rId80"/><Relationship Type="http://schemas.openxmlformats.org/officeDocument/2006/relationships/image" Target="/xl/media/image136.png" Id="rId81"/><Relationship Type="http://schemas.openxmlformats.org/officeDocument/2006/relationships/image" Target="/xl/media/image137.png" Id="rId82"/><Relationship Type="http://schemas.openxmlformats.org/officeDocument/2006/relationships/image" Target="/xl/media/image138.png" Id="rId83"/><Relationship Type="http://schemas.openxmlformats.org/officeDocument/2006/relationships/image" Target="/xl/media/image139.png" Id="rId84"/><Relationship Type="http://schemas.openxmlformats.org/officeDocument/2006/relationships/image" Target="/xl/media/image140.png" Id="rId85"/><Relationship Type="http://schemas.openxmlformats.org/officeDocument/2006/relationships/image" Target="/xl/media/image141.png" Id="rId86"/><Relationship Type="http://schemas.openxmlformats.org/officeDocument/2006/relationships/image" Target="/xl/media/image142.png" Id="rId87"/><Relationship Type="http://schemas.openxmlformats.org/officeDocument/2006/relationships/image" Target="/xl/media/image143.png" Id="rId88"/><Relationship Type="http://schemas.openxmlformats.org/officeDocument/2006/relationships/image" Target="/xl/media/image144.png" Id="rId89"/><Relationship Type="http://schemas.openxmlformats.org/officeDocument/2006/relationships/image" Target="/xl/media/image145.png" Id="rId90"/><Relationship Type="http://schemas.openxmlformats.org/officeDocument/2006/relationships/image" Target="/xl/media/image146.png" Id="rId91"/><Relationship Type="http://schemas.openxmlformats.org/officeDocument/2006/relationships/image" Target="/xl/media/image147.png" Id="rId92"/><Relationship Type="http://schemas.openxmlformats.org/officeDocument/2006/relationships/image" Target="/xl/media/image148.png" Id="rId93"/><Relationship Type="http://schemas.openxmlformats.org/officeDocument/2006/relationships/image" Target="/xl/media/image149.png" Id="rId94"/><Relationship Type="http://schemas.openxmlformats.org/officeDocument/2006/relationships/image" Target="/xl/media/image150.png" Id="rId95"/><Relationship Type="http://schemas.openxmlformats.org/officeDocument/2006/relationships/image" Target="/xl/media/image151.png" Id="rId96"/><Relationship Type="http://schemas.openxmlformats.org/officeDocument/2006/relationships/image" Target="/xl/media/image152.png" Id="rId97"/><Relationship Type="http://schemas.openxmlformats.org/officeDocument/2006/relationships/image" Target="/xl/media/image153.png" Id="rId98"/><Relationship Type="http://schemas.openxmlformats.org/officeDocument/2006/relationships/image" Target="/xl/media/image154.png" Id="rId99"/><Relationship Type="http://schemas.openxmlformats.org/officeDocument/2006/relationships/image" Target="/xl/media/image155.png" Id="rId100"/><Relationship Type="http://schemas.openxmlformats.org/officeDocument/2006/relationships/image" Target="/xl/media/image156.png" Id="rId101"/><Relationship Type="http://schemas.openxmlformats.org/officeDocument/2006/relationships/image" Target="/xl/media/image157.png" Id="rId102"/><Relationship Type="http://schemas.openxmlformats.org/officeDocument/2006/relationships/image" Target="/xl/media/image158.png" Id="rId103"/><Relationship Type="http://schemas.openxmlformats.org/officeDocument/2006/relationships/image" Target="/xl/media/image159.png" Id="rId104"/><Relationship Type="http://schemas.openxmlformats.org/officeDocument/2006/relationships/image" Target="/xl/media/image160.png" Id="rId105"/><Relationship Type="http://schemas.openxmlformats.org/officeDocument/2006/relationships/image" Target="/xl/media/image161.png" Id="rId106"/><Relationship Type="http://schemas.openxmlformats.org/officeDocument/2006/relationships/image" Target="/xl/media/image162.png" Id="rId107"/><Relationship Type="http://schemas.openxmlformats.org/officeDocument/2006/relationships/image" Target="/xl/media/image163.png" Id="rId108"/><Relationship Type="http://schemas.openxmlformats.org/officeDocument/2006/relationships/image" Target="/xl/media/image164.png" Id="rId109"/><Relationship Type="http://schemas.openxmlformats.org/officeDocument/2006/relationships/image" Target="/xl/media/image165.png" Id="rId110"/><Relationship Type="http://schemas.openxmlformats.org/officeDocument/2006/relationships/image" Target="/xl/media/image166.png" Id="rId111"/><Relationship Type="http://schemas.openxmlformats.org/officeDocument/2006/relationships/image" Target="/xl/media/image167.png" Id="rId112"/><Relationship Type="http://schemas.openxmlformats.org/officeDocument/2006/relationships/image" Target="/xl/media/image168.png" Id="rId113"/><Relationship Type="http://schemas.openxmlformats.org/officeDocument/2006/relationships/image" Target="/xl/media/image169.png" Id="rId114"/><Relationship Type="http://schemas.openxmlformats.org/officeDocument/2006/relationships/image" Target="/xl/media/image170.png" Id="rId115"/><Relationship Type="http://schemas.openxmlformats.org/officeDocument/2006/relationships/image" Target="/xl/media/image171.png" Id="rId116"/><Relationship Type="http://schemas.openxmlformats.org/officeDocument/2006/relationships/image" Target="/xl/media/image172.png" Id="rId117"/><Relationship Type="http://schemas.openxmlformats.org/officeDocument/2006/relationships/image" Target="/xl/media/image173.png" Id="rId118"/><Relationship Type="http://schemas.openxmlformats.org/officeDocument/2006/relationships/image" Target="/xl/media/image174.png" Id="rId119"/><Relationship Type="http://schemas.openxmlformats.org/officeDocument/2006/relationships/image" Target="/xl/media/image175.png" Id="rId120"/><Relationship Type="http://schemas.openxmlformats.org/officeDocument/2006/relationships/image" Target="/xl/media/image176.png" Id="rId121"/><Relationship Type="http://schemas.openxmlformats.org/officeDocument/2006/relationships/image" Target="/xl/media/image177.png" Id="rId122"/><Relationship Type="http://schemas.openxmlformats.org/officeDocument/2006/relationships/image" Target="/xl/media/image178.png" Id="rId123"/><Relationship Type="http://schemas.openxmlformats.org/officeDocument/2006/relationships/image" Target="/xl/media/image179.png" Id="rId124"/><Relationship Type="http://schemas.openxmlformats.org/officeDocument/2006/relationships/image" Target="/xl/media/image180.png" Id="rId125"/><Relationship Type="http://schemas.openxmlformats.org/officeDocument/2006/relationships/image" Target="/xl/media/image181.png" Id="rId126"/><Relationship Type="http://schemas.openxmlformats.org/officeDocument/2006/relationships/image" Target="/xl/media/image182.png" Id="rId127"/><Relationship Type="http://schemas.openxmlformats.org/officeDocument/2006/relationships/image" Target="/xl/media/image183.png" Id="rId128"/><Relationship Type="http://schemas.openxmlformats.org/officeDocument/2006/relationships/image" Target="/xl/media/image184.png" Id="rId129"/><Relationship Type="http://schemas.openxmlformats.org/officeDocument/2006/relationships/image" Target="/xl/media/image185.png" Id="rId130"/><Relationship Type="http://schemas.openxmlformats.org/officeDocument/2006/relationships/image" Target="/xl/media/image186.png" Id="rId131"/><Relationship Type="http://schemas.openxmlformats.org/officeDocument/2006/relationships/image" Target="/xl/media/image187.png" Id="rId132"/><Relationship Type="http://schemas.openxmlformats.org/officeDocument/2006/relationships/image" Target="/xl/media/image188.png" Id="rId133"/><Relationship Type="http://schemas.openxmlformats.org/officeDocument/2006/relationships/image" Target="/xl/media/image189.png" Id="rId134"/><Relationship Type="http://schemas.openxmlformats.org/officeDocument/2006/relationships/image" Target="/xl/media/image190.png" Id="rId135"/><Relationship Type="http://schemas.openxmlformats.org/officeDocument/2006/relationships/image" Target="/xl/media/image191.png" Id="rId136"/><Relationship Type="http://schemas.openxmlformats.org/officeDocument/2006/relationships/image" Target="/xl/media/image192.png" Id="rId137"/><Relationship Type="http://schemas.openxmlformats.org/officeDocument/2006/relationships/image" Target="/xl/media/image193.png" Id="rId138"/><Relationship Type="http://schemas.openxmlformats.org/officeDocument/2006/relationships/image" Target="/xl/media/image194.png" Id="rId139"/><Relationship Type="http://schemas.openxmlformats.org/officeDocument/2006/relationships/image" Target="/xl/media/image195.png" Id="rId140"/><Relationship Type="http://schemas.openxmlformats.org/officeDocument/2006/relationships/image" Target="/xl/media/image196.png" Id="rId141"/><Relationship Type="http://schemas.openxmlformats.org/officeDocument/2006/relationships/image" Target="/xl/media/image197.png" Id="rId142"/><Relationship Type="http://schemas.openxmlformats.org/officeDocument/2006/relationships/image" Target="/xl/media/image198.png" Id="rId143"/><Relationship Type="http://schemas.openxmlformats.org/officeDocument/2006/relationships/image" Target="/xl/media/image199.png" Id="rId144"/><Relationship Type="http://schemas.openxmlformats.org/officeDocument/2006/relationships/image" Target="/xl/media/image200.png" Id="rId145"/><Relationship Type="http://schemas.openxmlformats.org/officeDocument/2006/relationships/image" Target="/xl/media/image201.png" Id="rId146"/><Relationship Type="http://schemas.openxmlformats.org/officeDocument/2006/relationships/image" Target="/xl/media/image202.png" Id="rId147"/><Relationship Type="http://schemas.openxmlformats.org/officeDocument/2006/relationships/image" Target="/xl/media/image203.png" Id="rId148"/><Relationship Type="http://schemas.openxmlformats.org/officeDocument/2006/relationships/image" Target="/xl/media/image204.png" Id="rId149"/><Relationship Type="http://schemas.openxmlformats.org/officeDocument/2006/relationships/image" Target="/xl/media/image205.png" Id="rId150"/><Relationship Type="http://schemas.openxmlformats.org/officeDocument/2006/relationships/image" Target="/xl/media/image206.png" Id="rId151"/><Relationship Type="http://schemas.openxmlformats.org/officeDocument/2006/relationships/image" Target="/xl/media/image207.png" Id="rId152"/><Relationship Type="http://schemas.openxmlformats.org/officeDocument/2006/relationships/image" Target="/xl/media/image208.png" Id="rId153"/><Relationship Type="http://schemas.openxmlformats.org/officeDocument/2006/relationships/image" Target="/xl/media/image209.png" Id="rId154"/><Relationship Type="http://schemas.openxmlformats.org/officeDocument/2006/relationships/image" Target="/xl/media/image210.png" Id="rId155"/><Relationship Type="http://schemas.openxmlformats.org/officeDocument/2006/relationships/image" Target="/xl/media/image211.png" Id="rId156"/><Relationship Type="http://schemas.openxmlformats.org/officeDocument/2006/relationships/image" Target="/xl/media/image212.png" Id="rId157"/><Relationship Type="http://schemas.openxmlformats.org/officeDocument/2006/relationships/image" Target="/xl/media/image213.png" Id="rId158"/><Relationship Type="http://schemas.openxmlformats.org/officeDocument/2006/relationships/image" Target="/xl/media/image214.png" Id="rId159"/><Relationship Type="http://schemas.openxmlformats.org/officeDocument/2006/relationships/image" Target="/xl/media/image215.png" Id="rId160"/><Relationship Type="http://schemas.openxmlformats.org/officeDocument/2006/relationships/image" Target="/xl/media/image216.png" Id="rId161"/><Relationship Type="http://schemas.openxmlformats.org/officeDocument/2006/relationships/image" Target="/xl/media/image217.png" Id="rId162"/><Relationship Type="http://schemas.openxmlformats.org/officeDocument/2006/relationships/image" Target="/xl/media/image218.png" Id="rId163"/><Relationship Type="http://schemas.openxmlformats.org/officeDocument/2006/relationships/image" Target="/xl/media/image219.png" Id="rId164"/><Relationship Type="http://schemas.openxmlformats.org/officeDocument/2006/relationships/image" Target="/xl/media/image220.png" Id="rId165"/><Relationship Type="http://schemas.openxmlformats.org/officeDocument/2006/relationships/image" Target="/xl/media/image221.png" Id="rId166"/><Relationship Type="http://schemas.openxmlformats.org/officeDocument/2006/relationships/image" Target="/xl/media/image222.png" Id="rId167"/><Relationship Type="http://schemas.openxmlformats.org/officeDocument/2006/relationships/image" Target="/xl/media/image223.png" Id="rId168"/><Relationship Type="http://schemas.openxmlformats.org/officeDocument/2006/relationships/image" Target="/xl/media/image224.png" Id="rId169"/><Relationship Type="http://schemas.openxmlformats.org/officeDocument/2006/relationships/image" Target="/xl/media/image225.png" Id="rId170"/><Relationship Type="http://schemas.openxmlformats.org/officeDocument/2006/relationships/image" Target="/xl/media/image226.png" Id="rId171"/><Relationship Type="http://schemas.openxmlformats.org/officeDocument/2006/relationships/image" Target="/xl/media/image227.png" Id="rId172"/><Relationship Type="http://schemas.openxmlformats.org/officeDocument/2006/relationships/image" Target="/xl/media/image228.png" Id="rId173"/><Relationship Type="http://schemas.openxmlformats.org/officeDocument/2006/relationships/image" Target="/xl/media/image229.png" Id="rId174"/><Relationship Type="http://schemas.openxmlformats.org/officeDocument/2006/relationships/image" Target="/xl/media/image230.png" Id="rId175"/><Relationship Type="http://schemas.openxmlformats.org/officeDocument/2006/relationships/image" Target="/xl/media/image231.png" Id="rId176"/><Relationship Type="http://schemas.openxmlformats.org/officeDocument/2006/relationships/image" Target="/xl/media/image232.png" Id="rId177"/><Relationship Type="http://schemas.openxmlformats.org/officeDocument/2006/relationships/image" Target="/xl/media/image233.png" Id="rId178"/><Relationship Type="http://schemas.openxmlformats.org/officeDocument/2006/relationships/image" Target="/xl/media/image234.png" Id="rId179"/><Relationship Type="http://schemas.openxmlformats.org/officeDocument/2006/relationships/image" Target="/xl/media/image235.png" Id="rId180"/><Relationship Type="http://schemas.openxmlformats.org/officeDocument/2006/relationships/image" Target="/xl/media/image236.png" Id="rId181"/><Relationship Type="http://schemas.openxmlformats.org/officeDocument/2006/relationships/image" Target="/xl/media/image237.png" Id="rId182"/><Relationship Type="http://schemas.openxmlformats.org/officeDocument/2006/relationships/image" Target="/xl/media/image238.png" Id="rId183"/><Relationship Type="http://schemas.openxmlformats.org/officeDocument/2006/relationships/image" Target="/xl/media/image239.png" Id="rId184"/><Relationship Type="http://schemas.openxmlformats.org/officeDocument/2006/relationships/image" Target="/xl/media/image240.png" Id="rId185"/><Relationship Type="http://schemas.openxmlformats.org/officeDocument/2006/relationships/image" Target="/xl/media/image241.png" Id="rId186"/><Relationship Type="http://schemas.openxmlformats.org/officeDocument/2006/relationships/image" Target="/xl/media/image242.png" Id="rId187"/><Relationship Type="http://schemas.openxmlformats.org/officeDocument/2006/relationships/image" Target="/xl/media/image243.png" Id="rId188"/><Relationship Type="http://schemas.openxmlformats.org/officeDocument/2006/relationships/image" Target="/xl/media/image244.png" Id="rId189"/><Relationship Type="http://schemas.openxmlformats.org/officeDocument/2006/relationships/image" Target="/xl/media/image245.png" Id="rId190"/><Relationship Type="http://schemas.openxmlformats.org/officeDocument/2006/relationships/image" Target="/xl/media/image246.png" Id="rId191"/><Relationship Type="http://schemas.openxmlformats.org/officeDocument/2006/relationships/image" Target="/xl/media/image247.png" Id="rId192"/><Relationship Type="http://schemas.openxmlformats.org/officeDocument/2006/relationships/image" Target="/xl/media/image248.png" Id="rId193"/><Relationship Type="http://schemas.openxmlformats.org/officeDocument/2006/relationships/image" Target="/xl/media/image249.png" Id="rId194"/><Relationship Type="http://schemas.openxmlformats.org/officeDocument/2006/relationships/image" Target="/xl/media/image250.png" Id="rId195"/><Relationship Type="http://schemas.openxmlformats.org/officeDocument/2006/relationships/image" Target="/xl/media/image251.png" Id="rId196"/><Relationship Type="http://schemas.openxmlformats.org/officeDocument/2006/relationships/image" Target="/xl/media/image252.png" Id="rId197"/><Relationship Type="http://schemas.openxmlformats.org/officeDocument/2006/relationships/image" Target="/xl/media/image253.png" Id="rId198"/><Relationship Type="http://schemas.openxmlformats.org/officeDocument/2006/relationships/image" Target="/xl/media/image254.png" Id="rId199"/><Relationship Type="http://schemas.openxmlformats.org/officeDocument/2006/relationships/image" Target="/xl/media/image255.png" Id="rId200"/><Relationship Type="http://schemas.openxmlformats.org/officeDocument/2006/relationships/image" Target="/xl/media/image256.png" Id="rId201"/><Relationship Type="http://schemas.openxmlformats.org/officeDocument/2006/relationships/image" Target="/xl/media/image257.png" Id="rId202"/><Relationship Type="http://schemas.openxmlformats.org/officeDocument/2006/relationships/image" Target="/xl/media/image258.png" Id="rId203"/><Relationship Type="http://schemas.openxmlformats.org/officeDocument/2006/relationships/image" Target="/xl/media/image259.png" Id="rId204"/><Relationship Type="http://schemas.openxmlformats.org/officeDocument/2006/relationships/image" Target="/xl/media/image260.png" Id="rId205"/><Relationship Type="http://schemas.openxmlformats.org/officeDocument/2006/relationships/image" Target="/xl/media/image261.png" Id="rId206"/><Relationship Type="http://schemas.openxmlformats.org/officeDocument/2006/relationships/image" Target="/xl/media/image262.png" Id="rId207"/><Relationship Type="http://schemas.openxmlformats.org/officeDocument/2006/relationships/image" Target="/xl/media/image263.png" Id="rId208"/><Relationship Type="http://schemas.openxmlformats.org/officeDocument/2006/relationships/image" Target="/xl/media/image264.png" Id="rId209"/><Relationship Type="http://schemas.openxmlformats.org/officeDocument/2006/relationships/image" Target="/xl/media/image265.png" Id="rId210"/><Relationship Type="http://schemas.openxmlformats.org/officeDocument/2006/relationships/image" Target="/xl/media/image266.png" Id="rId211"/><Relationship Type="http://schemas.openxmlformats.org/officeDocument/2006/relationships/image" Target="/xl/media/image267.png" Id="rId212"/><Relationship Type="http://schemas.openxmlformats.org/officeDocument/2006/relationships/image" Target="/xl/media/image268.png" Id="rId213"/><Relationship Type="http://schemas.openxmlformats.org/officeDocument/2006/relationships/image" Target="/xl/media/image269.png" Id="rId214"/><Relationship Type="http://schemas.openxmlformats.org/officeDocument/2006/relationships/image" Target="/xl/media/image270.png" Id="rId215"/><Relationship Type="http://schemas.openxmlformats.org/officeDocument/2006/relationships/image" Target="/xl/media/image271.png" Id="rId216"/><Relationship Type="http://schemas.openxmlformats.org/officeDocument/2006/relationships/image" Target="/xl/media/image272.png" Id="rId217"/><Relationship Type="http://schemas.openxmlformats.org/officeDocument/2006/relationships/image" Target="/xl/media/image273.png" Id="rId218"/><Relationship Type="http://schemas.openxmlformats.org/officeDocument/2006/relationships/image" Target="/xl/media/image274.png" Id="rId219"/><Relationship Type="http://schemas.openxmlformats.org/officeDocument/2006/relationships/image" Target="/xl/media/image275.png" Id="rId220"/><Relationship Type="http://schemas.openxmlformats.org/officeDocument/2006/relationships/image" Target="/xl/media/image276.png" Id="rId221"/><Relationship Type="http://schemas.openxmlformats.org/officeDocument/2006/relationships/image" Target="/xl/media/image277.png" Id="rId222"/><Relationship Type="http://schemas.openxmlformats.org/officeDocument/2006/relationships/image" Target="/xl/media/image278.png" Id="rId223"/><Relationship Type="http://schemas.openxmlformats.org/officeDocument/2006/relationships/image" Target="/xl/media/image279.png" Id="rId224"/><Relationship Type="http://schemas.openxmlformats.org/officeDocument/2006/relationships/image" Target="/xl/media/image280.png" Id="rId225"/><Relationship Type="http://schemas.openxmlformats.org/officeDocument/2006/relationships/image" Target="/xl/media/image281.png" Id="rId226"/><Relationship Type="http://schemas.openxmlformats.org/officeDocument/2006/relationships/image" Target="/xl/media/image282.png" Id="rId227"/><Relationship Type="http://schemas.openxmlformats.org/officeDocument/2006/relationships/image" Target="/xl/media/image283.png" Id="rId228"/><Relationship Type="http://schemas.openxmlformats.org/officeDocument/2006/relationships/image" Target="/xl/media/image284.png" Id="rId229"/><Relationship Type="http://schemas.openxmlformats.org/officeDocument/2006/relationships/image" Target="/xl/media/image285.png" Id="rId230"/><Relationship Type="http://schemas.openxmlformats.org/officeDocument/2006/relationships/image" Target="/xl/media/image286.png" Id="rId231"/><Relationship Type="http://schemas.openxmlformats.org/officeDocument/2006/relationships/image" Target="/xl/media/image287.png" Id="rId232"/><Relationship Type="http://schemas.openxmlformats.org/officeDocument/2006/relationships/image" Target="/xl/media/image288.png" Id="rId233"/><Relationship Type="http://schemas.openxmlformats.org/officeDocument/2006/relationships/image" Target="/xl/media/image289.png" Id="rId234"/><Relationship Type="http://schemas.openxmlformats.org/officeDocument/2006/relationships/image" Target="/xl/media/image290.png" Id="rId235"/><Relationship Type="http://schemas.openxmlformats.org/officeDocument/2006/relationships/image" Target="/xl/media/image291.png" Id="rId236"/><Relationship Type="http://schemas.openxmlformats.org/officeDocument/2006/relationships/image" Target="/xl/media/image292.png" Id="rId237"/><Relationship Type="http://schemas.openxmlformats.org/officeDocument/2006/relationships/image" Target="/xl/media/image293.png" Id="rId238"/><Relationship Type="http://schemas.openxmlformats.org/officeDocument/2006/relationships/image" Target="/xl/media/image294.png" Id="rId239"/><Relationship Type="http://schemas.openxmlformats.org/officeDocument/2006/relationships/image" Target="/xl/media/image295.png" Id="rId240"/><Relationship Type="http://schemas.openxmlformats.org/officeDocument/2006/relationships/image" Target="/xl/media/image296.png" Id="rId241"/><Relationship Type="http://schemas.openxmlformats.org/officeDocument/2006/relationships/image" Target="/xl/media/image297.png" Id="rId242"/><Relationship Type="http://schemas.openxmlformats.org/officeDocument/2006/relationships/image" Target="/xl/media/image298.png" Id="rId243"/><Relationship Type="http://schemas.openxmlformats.org/officeDocument/2006/relationships/image" Target="/xl/media/image299.png" Id="rId244"/><Relationship Type="http://schemas.openxmlformats.org/officeDocument/2006/relationships/image" Target="/xl/media/image300.png" Id="rId245"/><Relationship Type="http://schemas.openxmlformats.org/officeDocument/2006/relationships/image" Target="/xl/media/image301.png" Id="rId246"/><Relationship Type="http://schemas.openxmlformats.org/officeDocument/2006/relationships/image" Target="/xl/media/image302.png" Id="rId247"/><Relationship Type="http://schemas.openxmlformats.org/officeDocument/2006/relationships/image" Target="/xl/media/image303.png" Id="rId248"/><Relationship Type="http://schemas.openxmlformats.org/officeDocument/2006/relationships/image" Target="/xl/media/image304.png" Id="rId249"/><Relationship Type="http://schemas.openxmlformats.org/officeDocument/2006/relationships/image" Target="/xl/media/image305.png" Id="rId250"/><Relationship Type="http://schemas.openxmlformats.org/officeDocument/2006/relationships/image" Target="/xl/media/image306.png" Id="rId251"/><Relationship Type="http://schemas.openxmlformats.org/officeDocument/2006/relationships/image" Target="/xl/media/image307.png" Id="rId252"/><Relationship Type="http://schemas.openxmlformats.org/officeDocument/2006/relationships/image" Target="/xl/media/image308.png" Id="rId253"/><Relationship Type="http://schemas.openxmlformats.org/officeDocument/2006/relationships/image" Target="/xl/media/image309.png" Id="rId254"/><Relationship Type="http://schemas.openxmlformats.org/officeDocument/2006/relationships/image" Target="/xl/media/image310.png" Id="rId255"/></Relationships>
</file>

<file path=xl/drawings/drawing1.xml><?xml version="1.0" encoding="utf-8"?>
<wsDr xmlns="http://schemas.openxmlformats.org/drawingml/2006/spreadsheetDrawing">
  <oneCellAnchor>
    <from>
      <col>3</col>
      <colOff>0</colOff>
      <row>17</row>
      <rowOff>0</rowOff>
    </from>
    <ext cx="1419225" cy="16859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18</row>
      <rowOff>0</rowOff>
    </from>
    <ext cx="1428750" cy="11906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3</col>
      <colOff>0</colOff>
      <row>19</row>
      <rowOff>0</rowOff>
    </from>
    <ext cx="1428750" cy="16859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3</col>
      <colOff>0</colOff>
      <row>20</row>
      <rowOff>0</rowOff>
    </from>
    <ext cx="1419225" cy="13811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3</row>
      <rowOff>0</rowOff>
    </from>
    <ext cx="104775" cy="4191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4</row>
      <rowOff>0</rowOff>
    </from>
    <ext cx="285750" cy="4191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5</row>
      <rowOff>0</rowOff>
    </from>
    <ext cx="419100" cy="4191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6</row>
      <rowOff>0</rowOff>
    </from>
    <ext cx="419100" cy="4191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7</row>
      <rowOff>0</rowOff>
    </from>
    <ext cx="419100" cy="4191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0</col>
      <colOff>0</colOff>
      <row>8</row>
      <rowOff>0</rowOff>
    </from>
    <ext cx="419100" cy="4000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9</row>
      <rowOff>0</rowOff>
    </from>
    <ext cx="419100" cy="2476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0</col>
      <colOff>0</colOff>
      <row>10</row>
      <rowOff>0</rowOff>
    </from>
    <ext cx="104775" cy="4191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11</row>
      <rowOff>0</rowOff>
    </from>
    <ext cx="419100" cy="2286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0</col>
      <colOff>0</colOff>
      <row>12</row>
      <rowOff>0</rowOff>
    </from>
    <ext cx="209550" cy="4191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13</row>
      <rowOff>0</rowOff>
    </from>
    <ext cx="419100" cy="2095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0</col>
      <colOff>0</colOff>
      <row>14</row>
      <rowOff>0</rowOff>
    </from>
    <ext cx="419100" cy="4095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15</row>
      <rowOff>0</rowOff>
    </from>
    <ext cx="276225" cy="4191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0</col>
      <colOff>0</colOff>
      <row>16</row>
      <rowOff>0</rowOff>
    </from>
    <ext cx="419100" cy="4191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17</row>
      <rowOff>0</rowOff>
    </from>
    <ext cx="419100" cy="4191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0</col>
      <colOff>0</colOff>
      <row>18</row>
      <rowOff>0</rowOff>
    </from>
    <ext cx="257175" cy="4191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19</row>
      <rowOff>0</rowOff>
    </from>
    <ext cx="390525" cy="4191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0</col>
      <colOff>0</colOff>
      <row>20</row>
      <rowOff>0</rowOff>
    </from>
    <ext cx="419100" cy="4191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21</row>
      <rowOff>0</rowOff>
    </from>
    <ext cx="419100" cy="4191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0</col>
      <colOff>0</colOff>
      <row>22</row>
      <rowOff>0</rowOff>
    </from>
    <ext cx="295275" cy="4191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23</row>
      <rowOff>0</rowOff>
    </from>
    <ext cx="419100" cy="4191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0</col>
      <colOff>0</colOff>
      <row>24</row>
      <rowOff>0</rowOff>
    </from>
    <ext cx="419100" cy="4191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25</row>
      <rowOff>0</rowOff>
    </from>
    <ext cx="333375" cy="4191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0</col>
      <colOff>0</colOff>
      <row>26</row>
      <rowOff>0</rowOff>
    </from>
    <ext cx="419100" cy="4191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27</row>
      <rowOff>0</rowOff>
    </from>
    <ext cx="276225" cy="4191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0</col>
      <colOff>0</colOff>
      <row>28</row>
      <rowOff>0</rowOff>
    </from>
    <ext cx="419100" cy="4191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29</row>
      <rowOff>0</rowOff>
    </from>
    <ext cx="419100" cy="2476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0</col>
      <colOff>0</colOff>
      <row>30</row>
      <rowOff>0</rowOff>
    </from>
    <ext cx="200025" cy="4191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31</row>
      <rowOff>0</rowOff>
    </from>
    <ext cx="419100" cy="4191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0</col>
      <colOff>0</colOff>
      <row>32</row>
      <rowOff>0</rowOff>
    </from>
    <ext cx="209550" cy="4191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33</row>
      <rowOff>0</rowOff>
    </from>
    <ext cx="238125" cy="4191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0</col>
      <colOff>0</colOff>
      <row>34</row>
      <rowOff>0</rowOff>
    </from>
    <ext cx="419100" cy="4191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35</row>
      <rowOff>0</rowOff>
    </from>
    <ext cx="381000" cy="4191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0</col>
      <colOff>0</colOff>
      <row>36</row>
      <rowOff>0</rowOff>
    </from>
    <ext cx="419100" cy="4191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37</row>
      <rowOff>0</rowOff>
    </from>
    <ext cx="419100" cy="40957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0</col>
      <colOff>0</colOff>
      <row>38</row>
      <rowOff>0</rowOff>
    </from>
    <ext cx="104775" cy="4191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39</row>
      <rowOff>0</rowOff>
    </from>
    <ext cx="333375" cy="4191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0</col>
      <colOff>0</colOff>
      <row>40</row>
      <rowOff>0</rowOff>
    </from>
    <ext cx="419100" cy="4191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41</row>
      <rowOff>0</rowOff>
    </from>
    <ext cx="419100" cy="4191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0</col>
      <colOff>0</colOff>
      <row>42</row>
      <rowOff>0</rowOff>
    </from>
    <ext cx="381000" cy="4191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43</row>
      <rowOff>0</rowOff>
    </from>
    <ext cx="409575" cy="4191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0</col>
      <colOff>0</colOff>
      <row>44</row>
      <rowOff>0</rowOff>
    </from>
    <ext cx="276225" cy="4191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45</row>
      <rowOff>0</rowOff>
    </from>
    <ext cx="419100" cy="4191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0</col>
      <colOff>0</colOff>
      <row>46</row>
      <rowOff>0</rowOff>
    </from>
    <ext cx="419100" cy="4191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47</row>
      <rowOff>0</rowOff>
    </from>
    <ext cx="419100" cy="4191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0</col>
      <colOff>0</colOff>
      <row>48</row>
      <rowOff>0</rowOff>
    </from>
    <ext cx="419100" cy="2095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52</row>
      <rowOff>0</rowOff>
    </from>
    <ext cx="276225" cy="2857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0</col>
      <colOff>0</colOff>
      <row>53</row>
      <rowOff>0</rowOff>
    </from>
    <ext cx="285750" cy="2857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54</row>
      <rowOff>0</rowOff>
    </from>
    <ext cx="285750" cy="2857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0</col>
      <colOff>0</colOff>
      <row>55</row>
      <rowOff>0</rowOff>
    </from>
    <ext cx="285750" cy="2857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0</col>
      <colOff>0</colOff>
      <row>56</row>
      <rowOff>0</rowOff>
    </from>
    <ext cx="219075" cy="28575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5</row>
      <rowOff>0</rowOff>
    </from>
    <ext cx="247650" cy="2476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6</row>
      <rowOff>0</rowOff>
    </from>
    <ext cx="247650" cy="2476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7</row>
      <rowOff>0</rowOff>
    </from>
    <ext cx="247650" cy="2476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9</row>
      <rowOff>0</rowOff>
    </from>
    <ext cx="76200" cy="3238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10</row>
      <rowOff>0</rowOff>
    </from>
    <ext cx="323850" cy="3238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0</col>
      <colOff>0</colOff>
      <row>11</row>
      <rowOff>0</rowOff>
    </from>
    <ext cx="323850" cy="3238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12</row>
      <rowOff>0</rowOff>
    </from>
    <ext cx="323850" cy="1905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0</col>
      <colOff>0</colOff>
      <row>13</row>
      <rowOff>0</rowOff>
    </from>
    <ext cx="209550" cy="3238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14</row>
      <rowOff>0</rowOff>
    </from>
    <ext cx="323850" cy="3238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0</col>
      <colOff>0</colOff>
      <row>15</row>
      <rowOff>0</rowOff>
    </from>
    <ext cx="314325" cy="3238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16</row>
      <rowOff>0</rowOff>
    </from>
    <ext cx="304800" cy="3238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0</col>
      <colOff>0</colOff>
      <row>17</row>
      <rowOff>0</rowOff>
    </from>
    <ext cx="323850" cy="3238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18</row>
      <rowOff>0</rowOff>
    </from>
    <ext cx="323850" cy="3048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0</col>
      <colOff>0</colOff>
      <row>19</row>
      <rowOff>0</rowOff>
    </from>
    <ext cx="323850" cy="3238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20</row>
      <rowOff>0</rowOff>
    </from>
    <ext cx="323850" cy="3238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0</col>
      <colOff>0</colOff>
      <row>24</row>
      <rowOff>0</rowOff>
    </from>
    <ext cx="247650" cy="2476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25</row>
      <rowOff>0</rowOff>
    </from>
    <ext cx="247650" cy="2476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0</col>
      <colOff>0</colOff>
      <row>26</row>
      <rowOff>0</rowOff>
    </from>
    <ext cx="247650" cy="2476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28</row>
      <rowOff>0</rowOff>
    </from>
    <ext cx="76200" cy="3238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0</col>
      <colOff>0</colOff>
      <row>29</row>
      <rowOff>0</rowOff>
    </from>
    <ext cx="323850" cy="3238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30</row>
      <rowOff>0</rowOff>
    </from>
    <ext cx="323850" cy="1905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0</col>
      <colOff>0</colOff>
      <row>31</row>
      <rowOff>0</rowOff>
    </from>
    <ext cx="209550" cy="3238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32</row>
      <rowOff>0</rowOff>
    </from>
    <ext cx="323850" cy="3238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0</col>
      <colOff>0</colOff>
      <row>33</row>
      <rowOff>0</rowOff>
    </from>
    <ext cx="314325" cy="3238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34</row>
      <rowOff>0</rowOff>
    </from>
    <ext cx="304800" cy="3238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0</col>
      <colOff>0</colOff>
      <row>35</row>
      <rowOff>0</rowOff>
    </from>
    <ext cx="323850" cy="3238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36</row>
      <rowOff>0</rowOff>
    </from>
    <ext cx="323850" cy="3048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0</col>
      <colOff>0</colOff>
      <row>37</row>
      <rowOff>0</rowOff>
    </from>
    <ext cx="323850" cy="3238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38</row>
      <rowOff>0</rowOff>
    </from>
    <ext cx="323850" cy="3238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0</col>
      <colOff>0</colOff>
      <row>42</row>
      <rowOff>0</rowOff>
    </from>
    <ext cx="247650" cy="2476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43</row>
      <rowOff>0</rowOff>
    </from>
    <ext cx="247650" cy="2476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0</col>
      <colOff>0</colOff>
      <row>44</row>
      <rowOff>0</rowOff>
    </from>
    <ext cx="247650" cy="2476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45</row>
      <rowOff>0</rowOff>
    </from>
    <ext cx="247650" cy="2476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0</col>
      <colOff>0</colOff>
      <row>46</row>
      <rowOff>0</rowOff>
    </from>
    <ext cx="247650" cy="2476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47</row>
      <rowOff>0</rowOff>
    </from>
    <ext cx="247650" cy="2476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0</col>
      <colOff>0</colOff>
      <row>48</row>
      <rowOff>0</rowOff>
    </from>
    <ext cx="247650" cy="2476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50</row>
      <rowOff>0</rowOff>
    </from>
    <ext cx="209550" cy="3238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0</col>
      <colOff>0</colOff>
      <row>51</row>
      <rowOff>0</rowOff>
    </from>
    <ext cx="209550" cy="32385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52</row>
      <rowOff>0</rowOff>
    </from>
    <ext cx="228600" cy="3238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0</col>
      <colOff>0</colOff>
      <row>53</row>
      <rowOff>0</rowOff>
    </from>
    <ext cx="219075" cy="3238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54</row>
      <rowOff>0</rowOff>
    </from>
    <ext cx="323850" cy="3238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0</col>
      <colOff>0</colOff>
      <row>55</row>
      <rowOff>0</rowOff>
    </from>
    <ext cx="323850" cy="32385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56</row>
      <rowOff>0</rowOff>
    </from>
    <ext cx="314325" cy="3238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0</col>
      <colOff>0</colOff>
      <row>57</row>
      <rowOff>0</rowOff>
    </from>
    <ext cx="323850" cy="3238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58</row>
      <rowOff>0</rowOff>
    </from>
    <ext cx="323850" cy="32385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0</col>
      <colOff>0</colOff>
      <row>59</row>
      <rowOff>0</rowOff>
    </from>
    <ext cx="323850" cy="1714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61</row>
      <rowOff>0</rowOff>
    </from>
    <ext cx="161925" cy="3238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0</col>
      <colOff>0</colOff>
      <row>62</row>
      <rowOff>0</rowOff>
    </from>
    <ext cx="209550" cy="3238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63</row>
      <rowOff>0</rowOff>
    </from>
    <ext cx="323850" cy="3238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0</col>
      <colOff>0</colOff>
      <row>64</row>
      <rowOff>0</rowOff>
    </from>
    <ext cx="200025" cy="3238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0</col>
      <colOff>0</colOff>
      <row>65</row>
      <rowOff>0</rowOff>
    </from>
    <ext cx="323850" cy="314325"/>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0</col>
      <colOff>0</colOff>
      <row>66</row>
      <rowOff>0</rowOff>
    </from>
    <ext cx="323850" cy="32385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0</col>
      <colOff>0</colOff>
      <row>67</row>
      <rowOff>0</rowOff>
    </from>
    <ext cx="314325" cy="323850"/>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0</col>
      <colOff>0</colOff>
      <row>68</row>
      <rowOff>0</rowOff>
    </from>
    <ext cx="323850" cy="323850"/>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0</col>
      <colOff>0</colOff>
      <row>69</row>
      <rowOff>0</rowOff>
    </from>
    <ext cx="323850" cy="323850"/>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0</col>
      <colOff>0</colOff>
      <row>70</row>
      <rowOff>0</rowOff>
    </from>
    <ext cx="323850" cy="171450"/>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0</col>
      <colOff>0</colOff>
      <row>74</row>
      <rowOff>0</rowOff>
    </from>
    <ext cx="247650" cy="247650"/>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0</col>
      <colOff>0</colOff>
      <row>75</row>
      <rowOff>0</rowOff>
    </from>
    <ext cx="247650" cy="247650"/>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0</col>
      <colOff>0</colOff>
      <row>76</row>
      <rowOff>0</rowOff>
    </from>
    <ext cx="247650" cy="247650"/>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0</col>
      <colOff>0</colOff>
      <row>77</row>
      <rowOff>0</rowOff>
    </from>
    <ext cx="247650" cy="247650"/>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0</col>
      <colOff>0</colOff>
      <row>78</row>
      <rowOff>0</rowOff>
    </from>
    <ext cx="247650" cy="247650"/>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0</col>
      <colOff>0</colOff>
      <row>79</row>
      <rowOff>0</rowOff>
    </from>
    <ext cx="247650" cy="247650"/>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0</col>
      <colOff>0</colOff>
      <row>80</row>
      <rowOff>0</rowOff>
    </from>
    <ext cx="247650" cy="247650"/>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oneCellAnchor>
    <from>
      <col>0</col>
      <colOff>0</colOff>
      <row>81</row>
      <rowOff>0</rowOff>
    </from>
    <ext cx="247650" cy="247650"/>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oneCellAnchor>
  <oneCellAnchor>
    <from>
      <col>0</col>
      <colOff>0</colOff>
      <row>82</row>
      <rowOff>0</rowOff>
    </from>
    <ext cx="247650" cy="247650"/>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oneCellAnchor>
  <oneCellAnchor>
    <from>
      <col>0</col>
      <colOff>0</colOff>
      <row>83</row>
      <rowOff>0</rowOff>
    </from>
    <ext cx="247650" cy="247650"/>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oneCellAnchor>
  <oneCellAnchor>
    <from>
      <col>0</col>
      <colOff>0</colOff>
      <row>85</row>
      <rowOff>0</rowOff>
    </from>
    <ext cx="209550" cy="323850"/>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spPr>
    </pic>
    <clientData/>
  </oneCellAnchor>
  <oneCellAnchor>
    <from>
      <col>0</col>
      <colOff>0</colOff>
      <row>86</row>
      <rowOff>0</rowOff>
    </from>
    <ext cx="209550" cy="323850"/>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spPr>
    </pic>
    <clientData/>
  </oneCellAnchor>
  <oneCellAnchor>
    <from>
      <col>0</col>
      <colOff>0</colOff>
      <row>87</row>
      <rowOff>0</rowOff>
    </from>
    <ext cx="228600" cy="323850"/>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spPr>
    </pic>
    <clientData/>
  </oneCellAnchor>
  <oneCellAnchor>
    <from>
      <col>0</col>
      <colOff>0</colOff>
      <row>88</row>
      <rowOff>0</rowOff>
    </from>
    <ext cx="200025" cy="323850"/>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spPr>
    </pic>
    <clientData/>
  </oneCellAnchor>
  <oneCellAnchor>
    <from>
      <col>0</col>
      <colOff>0</colOff>
      <row>89</row>
      <rowOff>0</rowOff>
    </from>
    <ext cx="323850" cy="323850"/>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spPr>
    </pic>
    <clientData/>
  </oneCellAnchor>
  <oneCellAnchor>
    <from>
      <col>0</col>
      <colOff>0</colOff>
      <row>90</row>
      <rowOff>0</rowOff>
    </from>
    <ext cx="304800" cy="323850"/>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spPr>
    </pic>
    <clientData/>
  </oneCellAnchor>
  <oneCellAnchor>
    <from>
      <col>0</col>
      <colOff>0</colOff>
      <row>91</row>
      <rowOff>0</rowOff>
    </from>
    <ext cx="314325" cy="323850"/>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spPr>
    </pic>
    <clientData/>
  </oneCellAnchor>
  <oneCellAnchor>
    <from>
      <col>0</col>
      <colOff>0</colOff>
      <row>92</row>
      <rowOff>0</rowOff>
    </from>
    <ext cx="323850" cy="323850"/>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spPr>
    </pic>
    <clientData/>
  </oneCellAnchor>
  <oneCellAnchor>
    <from>
      <col>0</col>
      <colOff>0</colOff>
      <row>93</row>
      <rowOff>0</rowOff>
    </from>
    <ext cx="323850" cy="323850"/>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spPr>
    </pic>
    <clientData/>
  </oneCellAnchor>
  <oneCellAnchor>
    <from>
      <col>0</col>
      <colOff>0</colOff>
      <row>94</row>
      <rowOff>0</rowOff>
    </from>
    <ext cx="323850" cy="171450"/>
    <pic>
      <nvPicPr>
        <cNvPr id="76"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spPr>
    </pic>
    <clientData/>
  </oneCellAnchor>
  <oneCellAnchor>
    <from>
      <col>0</col>
      <colOff>0</colOff>
      <row>95</row>
      <rowOff>0</rowOff>
    </from>
    <ext cx="323850" cy="323850"/>
    <pic>
      <nvPicPr>
        <cNvPr id="77"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spPr>
    </pic>
    <clientData/>
  </oneCellAnchor>
  <oneCellAnchor>
    <from>
      <col>0</col>
      <colOff>0</colOff>
      <row>96</row>
      <rowOff>0</rowOff>
    </from>
    <ext cx="323850" cy="323850"/>
    <pic>
      <nvPicPr>
        <cNvPr id="78" name="Image 78"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spPr>
    </pic>
    <clientData/>
  </oneCellAnchor>
  <oneCellAnchor>
    <from>
      <col>0</col>
      <colOff>0</colOff>
      <row>98</row>
      <rowOff>0</rowOff>
    </from>
    <ext cx="161925" cy="323850"/>
    <pic>
      <nvPicPr>
        <cNvPr id="79" name="Image 79" descr="Picture"/>
        <cNvPicPr/>
      </nvPicPr>
      <blipFill>
        <a:blip xmlns:a="http://schemas.openxmlformats.org/drawingml/2006/main" xmlns:r="http://schemas.openxmlformats.org/officeDocument/2006/relationships" cstate="print" r:embed="rId79"/>
        <a:stretch xmlns:a="http://schemas.openxmlformats.org/drawingml/2006/main">
          <a:fillRect/>
        </a:stretch>
      </blipFill>
      <spPr>
        <a:prstGeom xmlns:a="http://schemas.openxmlformats.org/drawingml/2006/main" prst="rect"/>
      </spPr>
    </pic>
    <clientData/>
  </oneCellAnchor>
  <oneCellAnchor>
    <from>
      <col>0</col>
      <colOff>0</colOff>
      <row>99</row>
      <rowOff>0</rowOff>
    </from>
    <ext cx="209550" cy="323850"/>
    <pic>
      <nvPicPr>
        <cNvPr id="80" name="Image 80" descr="Picture"/>
        <cNvPicPr/>
      </nvPicPr>
      <blipFill>
        <a:blip xmlns:a="http://schemas.openxmlformats.org/drawingml/2006/main" xmlns:r="http://schemas.openxmlformats.org/officeDocument/2006/relationships" cstate="print" r:embed="rId80"/>
        <a:stretch xmlns:a="http://schemas.openxmlformats.org/drawingml/2006/main">
          <a:fillRect/>
        </a:stretch>
      </blipFill>
      <spPr>
        <a:prstGeom xmlns:a="http://schemas.openxmlformats.org/drawingml/2006/main" prst="rect"/>
      </spPr>
    </pic>
    <clientData/>
  </oneCellAnchor>
  <oneCellAnchor>
    <from>
      <col>0</col>
      <colOff>0</colOff>
      <row>100</row>
      <rowOff>0</rowOff>
    </from>
    <ext cx="323850" cy="323850"/>
    <pic>
      <nvPicPr>
        <cNvPr id="81" name="Image 81" descr="Picture"/>
        <cNvPicPr/>
      </nvPicPr>
      <blipFill>
        <a:blip xmlns:a="http://schemas.openxmlformats.org/drawingml/2006/main" xmlns:r="http://schemas.openxmlformats.org/officeDocument/2006/relationships" cstate="print" r:embed="rId81"/>
        <a:stretch xmlns:a="http://schemas.openxmlformats.org/drawingml/2006/main">
          <a:fillRect/>
        </a:stretch>
      </blipFill>
      <spPr>
        <a:prstGeom xmlns:a="http://schemas.openxmlformats.org/drawingml/2006/main" prst="rect"/>
      </spPr>
    </pic>
    <clientData/>
  </oneCellAnchor>
  <oneCellAnchor>
    <from>
      <col>0</col>
      <colOff>0</colOff>
      <row>101</row>
      <rowOff>0</rowOff>
    </from>
    <ext cx="200025" cy="323850"/>
    <pic>
      <nvPicPr>
        <cNvPr id="82" name="Image 82" descr="Picture"/>
        <cNvPicPr/>
      </nvPicPr>
      <blipFill>
        <a:blip xmlns:a="http://schemas.openxmlformats.org/drawingml/2006/main" xmlns:r="http://schemas.openxmlformats.org/officeDocument/2006/relationships" cstate="print" r:embed="rId82"/>
        <a:stretch xmlns:a="http://schemas.openxmlformats.org/drawingml/2006/main">
          <a:fillRect/>
        </a:stretch>
      </blipFill>
      <spPr>
        <a:prstGeom xmlns:a="http://schemas.openxmlformats.org/drawingml/2006/main" prst="rect"/>
      </spPr>
    </pic>
    <clientData/>
  </oneCellAnchor>
  <oneCellAnchor>
    <from>
      <col>0</col>
      <colOff>0</colOff>
      <row>102</row>
      <rowOff>0</rowOff>
    </from>
    <ext cx="323850" cy="314325"/>
    <pic>
      <nvPicPr>
        <cNvPr id="83" name="Image 83" descr="Picture"/>
        <cNvPicPr/>
      </nvPicPr>
      <blipFill>
        <a:blip xmlns:a="http://schemas.openxmlformats.org/drawingml/2006/main" xmlns:r="http://schemas.openxmlformats.org/officeDocument/2006/relationships" cstate="print" r:embed="rId83"/>
        <a:stretch xmlns:a="http://schemas.openxmlformats.org/drawingml/2006/main">
          <a:fillRect/>
        </a:stretch>
      </blipFill>
      <spPr>
        <a:prstGeom xmlns:a="http://schemas.openxmlformats.org/drawingml/2006/main" prst="rect"/>
      </spPr>
    </pic>
    <clientData/>
  </oneCellAnchor>
  <oneCellAnchor>
    <from>
      <col>0</col>
      <colOff>0</colOff>
      <row>103</row>
      <rowOff>0</rowOff>
    </from>
    <ext cx="304800" cy="323850"/>
    <pic>
      <nvPicPr>
        <cNvPr id="84" name="Image 84" descr="Picture"/>
        <cNvPicPr/>
      </nvPicPr>
      <blipFill>
        <a:blip xmlns:a="http://schemas.openxmlformats.org/drawingml/2006/main" xmlns:r="http://schemas.openxmlformats.org/officeDocument/2006/relationships" cstate="print" r:embed="rId84"/>
        <a:stretch xmlns:a="http://schemas.openxmlformats.org/drawingml/2006/main">
          <a:fillRect/>
        </a:stretch>
      </blipFill>
      <spPr>
        <a:prstGeom xmlns:a="http://schemas.openxmlformats.org/drawingml/2006/main" prst="rect"/>
      </spPr>
    </pic>
    <clientData/>
  </oneCellAnchor>
  <oneCellAnchor>
    <from>
      <col>0</col>
      <colOff>0</colOff>
      <row>104</row>
      <rowOff>0</rowOff>
    </from>
    <ext cx="314325" cy="323850"/>
    <pic>
      <nvPicPr>
        <cNvPr id="85" name="Image 85" descr="Picture"/>
        <cNvPicPr/>
      </nvPicPr>
      <blipFill>
        <a:blip xmlns:a="http://schemas.openxmlformats.org/drawingml/2006/main" xmlns:r="http://schemas.openxmlformats.org/officeDocument/2006/relationships" cstate="print" r:embed="rId85"/>
        <a:stretch xmlns:a="http://schemas.openxmlformats.org/drawingml/2006/main">
          <a:fillRect/>
        </a:stretch>
      </blipFill>
      <spPr>
        <a:prstGeom xmlns:a="http://schemas.openxmlformats.org/drawingml/2006/main" prst="rect"/>
      </spPr>
    </pic>
    <clientData/>
  </oneCellAnchor>
  <oneCellAnchor>
    <from>
      <col>0</col>
      <colOff>0</colOff>
      <row>105</row>
      <rowOff>0</rowOff>
    </from>
    <ext cx="323850" cy="323850"/>
    <pic>
      <nvPicPr>
        <cNvPr id="86" name="Image 86" descr="Picture"/>
        <cNvPicPr/>
      </nvPicPr>
      <blipFill>
        <a:blip xmlns:a="http://schemas.openxmlformats.org/drawingml/2006/main" xmlns:r="http://schemas.openxmlformats.org/officeDocument/2006/relationships" cstate="print" r:embed="rId86"/>
        <a:stretch xmlns:a="http://schemas.openxmlformats.org/drawingml/2006/main">
          <a:fillRect/>
        </a:stretch>
      </blipFill>
      <spPr>
        <a:prstGeom xmlns:a="http://schemas.openxmlformats.org/drawingml/2006/main" prst="rect"/>
      </spPr>
    </pic>
    <clientData/>
  </oneCellAnchor>
  <oneCellAnchor>
    <from>
      <col>0</col>
      <colOff>0</colOff>
      <row>106</row>
      <rowOff>0</rowOff>
    </from>
    <ext cx="323850" cy="323850"/>
    <pic>
      <nvPicPr>
        <cNvPr id="87" name="Image 87" descr="Picture"/>
        <cNvPicPr/>
      </nvPicPr>
      <blipFill>
        <a:blip xmlns:a="http://schemas.openxmlformats.org/drawingml/2006/main" xmlns:r="http://schemas.openxmlformats.org/officeDocument/2006/relationships" cstate="print" r:embed="rId87"/>
        <a:stretch xmlns:a="http://schemas.openxmlformats.org/drawingml/2006/main">
          <a:fillRect/>
        </a:stretch>
      </blipFill>
      <spPr>
        <a:prstGeom xmlns:a="http://schemas.openxmlformats.org/drawingml/2006/main" prst="rect"/>
      </spPr>
    </pic>
    <clientData/>
  </oneCellAnchor>
  <oneCellAnchor>
    <from>
      <col>0</col>
      <colOff>0</colOff>
      <row>107</row>
      <rowOff>0</rowOff>
    </from>
    <ext cx="323850" cy="171450"/>
    <pic>
      <nvPicPr>
        <cNvPr id="88" name="Image 88" descr="Picture"/>
        <cNvPicPr/>
      </nvPicPr>
      <blipFill>
        <a:blip xmlns:a="http://schemas.openxmlformats.org/drawingml/2006/main" xmlns:r="http://schemas.openxmlformats.org/officeDocument/2006/relationships" cstate="print" r:embed="rId88"/>
        <a:stretch xmlns:a="http://schemas.openxmlformats.org/drawingml/2006/main">
          <a:fillRect/>
        </a:stretch>
      </blipFill>
      <spPr>
        <a:prstGeom xmlns:a="http://schemas.openxmlformats.org/drawingml/2006/main" prst="rect"/>
      </spPr>
    </pic>
    <clientData/>
  </oneCellAnchor>
  <oneCellAnchor>
    <from>
      <col>0</col>
      <colOff>0</colOff>
      <row>108</row>
      <rowOff>0</rowOff>
    </from>
    <ext cx="323850" cy="323850"/>
    <pic>
      <nvPicPr>
        <cNvPr id="89" name="Image 89" descr="Picture"/>
        <cNvPicPr/>
      </nvPicPr>
      <blipFill>
        <a:blip xmlns:a="http://schemas.openxmlformats.org/drawingml/2006/main" xmlns:r="http://schemas.openxmlformats.org/officeDocument/2006/relationships" cstate="print" r:embed="rId89"/>
        <a:stretch xmlns:a="http://schemas.openxmlformats.org/drawingml/2006/main">
          <a:fillRect/>
        </a:stretch>
      </blipFill>
      <spPr>
        <a:prstGeom xmlns:a="http://schemas.openxmlformats.org/drawingml/2006/main" prst="rect"/>
      </spPr>
    </pic>
    <clientData/>
  </oneCellAnchor>
  <oneCellAnchor>
    <from>
      <col>0</col>
      <colOff>0</colOff>
      <row>109</row>
      <rowOff>0</rowOff>
    </from>
    <ext cx="323850" cy="323850"/>
    <pic>
      <nvPicPr>
        <cNvPr id="90" name="Image 90" descr="Picture"/>
        <cNvPicPr/>
      </nvPicPr>
      <blipFill>
        <a:blip xmlns:a="http://schemas.openxmlformats.org/drawingml/2006/main" xmlns:r="http://schemas.openxmlformats.org/officeDocument/2006/relationships" cstate="print" r:embed="rId90"/>
        <a:stretch xmlns:a="http://schemas.openxmlformats.org/drawingml/2006/main">
          <a:fillRect/>
        </a:stretch>
      </blipFill>
      <spPr>
        <a:prstGeom xmlns:a="http://schemas.openxmlformats.org/drawingml/2006/main" prst="rect"/>
      </spPr>
    </pic>
    <clientData/>
  </oneCellAnchor>
  <oneCellAnchor>
    <from>
      <col>0</col>
      <colOff>0</colOff>
      <row>113</row>
      <rowOff>0</rowOff>
    </from>
    <ext cx="247650" cy="247650"/>
    <pic>
      <nvPicPr>
        <cNvPr id="91" name="Image 91" descr="Picture"/>
        <cNvPicPr/>
      </nvPicPr>
      <blipFill>
        <a:blip xmlns:a="http://schemas.openxmlformats.org/drawingml/2006/main" xmlns:r="http://schemas.openxmlformats.org/officeDocument/2006/relationships" cstate="print" r:embed="rId91"/>
        <a:stretch xmlns:a="http://schemas.openxmlformats.org/drawingml/2006/main">
          <a:fillRect/>
        </a:stretch>
      </blipFill>
      <spPr>
        <a:prstGeom xmlns:a="http://schemas.openxmlformats.org/drawingml/2006/main" prst="rect"/>
      </spPr>
    </pic>
    <clientData/>
  </oneCellAnchor>
  <oneCellAnchor>
    <from>
      <col>0</col>
      <colOff>0</colOff>
      <row>114</row>
      <rowOff>0</rowOff>
    </from>
    <ext cx="247650" cy="247650"/>
    <pic>
      <nvPicPr>
        <cNvPr id="92" name="Image 92" descr="Picture"/>
        <cNvPicPr/>
      </nvPicPr>
      <blipFill>
        <a:blip xmlns:a="http://schemas.openxmlformats.org/drawingml/2006/main" xmlns:r="http://schemas.openxmlformats.org/officeDocument/2006/relationships" cstate="print" r:embed="rId92"/>
        <a:stretch xmlns:a="http://schemas.openxmlformats.org/drawingml/2006/main">
          <a:fillRect/>
        </a:stretch>
      </blipFill>
      <spPr>
        <a:prstGeom xmlns:a="http://schemas.openxmlformats.org/drawingml/2006/main" prst="rect"/>
      </spPr>
    </pic>
    <clientData/>
  </oneCellAnchor>
  <oneCellAnchor>
    <from>
      <col>0</col>
      <colOff>0</colOff>
      <row>115</row>
      <rowOff>0</rowOff>
    </from>
    <ext cx="247650" cy="247650"/>
    <pic>
      <nvPicPr>
        <cNvPr id="93" name="Image 93" descr="Picture"/>
        <cNvPicPr/>
      </nvPicPr>
      <blipFill>
        <a:blip xmlns:a="http://schemas.openxmlformats.org/drawingml/2006/main" xmlns:r="http://schemas.openxmlformats.org/officeDocument/2006/relationships" cstate="print" r:embed="rId93"/>
        <a:stretch xmlns:a="http://schemas.openxmlformats.org/drawingml/2006/main">
          <a:fillRect/>
        </a:stretch>
      </blipFill>
      <spPr>
        <a:prstGeom xmlns:a="http://schemas.openxmlformats.org/drawingml/2006/main" prst="rect"/>
      </spPr>
    </pic>
    <clientData/>
  </oneCellAnchor>
  <oneCellAnchor>
    <from>
      <col>0</col>
      <colOff>0</colOff>
      <row>116</row>
      <rowOff>0</rowOff>
    </from>
    <ext cx="247650" cy="247650"/>
    <pic>
      <nvPicPr>
        <cNvPr id="94" name="Image 94" descr="Picture"/>
        <cNvPicPr/>
      </nvPicPr>
      <blipFill>
        <a:blip xmlns:a="http://schemas.openxmlformats.org/drawingml/2006/main" xmlns:r="http://schemas.openxmlformats.org/officeDocument/2006/relationships" cstate="print" r:embed="rId94"/>
        <a:stretch xmlns:a="http://schemas.openxmlformats.org/drawingml/2006/main">
          <a:fillRect/>
        </a:stretch>
      </blipFill>
      <spPr>
        <a:prstGeom xmlns:a="http://schemas.openxmlformats.org/drawingml/2006/main" prst="rect"/>
      </spPr>
    </pic>
    <clientData/>
  </oneCellAnchor>
  <oneCellAnchor>
    <from>
      <col>0</col>
      <colOff>0</colOff>
      <row>117</row>
      <rowOff>0</rowOff>
    </from>
    <ext cx="247650" cy="247650"/>
    <pic>
      <nvPicPr>
        <cNvPr id="95" name="Image 95" descr="Picture"/>
        <cNvPicPr/>
      </nvPicPr>
      <blipFill>
        <a:blip xmlns:a="http://schemas.openxmlformats.org/drawingml/2006/main" xmlns:r="http://schemas.openxmlformats.org/officeDocument/2006/relationships" cstate="print" r:embed="rId95"/>
        <a:stretch xmlns:a="http://schemas.openxmlformats.org/drawingml/2006/main">
          <a:fillRect/>
        </a:stretch>
      </blipFill>
      <spPr>
        <a:prstGeom xmlns:a="http://schemas.openxmlformats.org/drawingml/2006/main" prst="rect"/>
      </spPr>
    </pic>
    <clientData/>
  </oneCellAnchor>
  <oneCellAnchor>
    <from>
      <col>0</col>
      <colOff>0</colOff>
      <row>118</row>
      <rowOff>0</rowOff>
    </from>
    <ext cx="247650" cy="247650"/>
    <pic>
      <nvPicPr>
        <cNvPr id="96" name="Image 96" descr="Picture"/>
        <cNvPicPr/>
      </nvPicPr>
      <blipFill>
        <a:blip xmlns:a="http://schemas.openxmlformats.org/drawingml/2006/main" xmlns:r="http://schemas.openxmlformats.org/officeDocument/2006/relationships" cstate="print" r:embed="rId96"/>
        <a:stretch xmlns:a="http://schemas.openxmlformats.org/drawingml/2006/main">
          <a:fillRect/>
        </a:stretch>
      </blipFill>
      <spPr>
        <a:prstGeom xmlns:a="http://schemas.openxmlformats.org/drawingml/2006/main" prst="rect"/>
      </spPr>
    </pic>
    <clientData/>
  </oneCellAnchor>
  <oneCellAnchor>
    <from>
      <col>0</col>
      <colOff>0</colOff>
      <row>119</row>
      <rowOff>0</rowOff>
    </from>
    <ext cx="247650" cy="247650"/>
    <pic>
      <nvPicPr>
        <cNvPr id="97" name="Image 97" descr="Picture"/>
        <cNvPicPr/>
      </nvPicPr>
      <blipFill>
        <a:blip xmlns:a="http://schemas.openxmlformats.org/drawingml/2006/main" xmlns:r="http://schemas.openxmlformats.org/officeDocument/2006/relationships" cstate="print" r:embed="rId97"/>
        <a:stretch xmlns:a="http://schemas.openxmlformats.org/drawingml/2006/main">
          <a:fillRect/>
        </a:stretch>
      </blipFill>
      <spPr>
        <a:prstGeom xmlns:a="http://schemas.openxmlformats.org/drawingml/2006/main" prst="rect"/>
      </spPr>
    </pic>
    <clientData/>
  </oneCellAnchor>
  <oneCellAnchor>
    <from>
      <col>0</col>
      <colOff>0</colOff>
      <row>120</row>
      <rowOff>0</rowOff>
    </from>
    <ext cx="247650" cy="247650"/>
    <pic>
      <nvPicPr>
        <cNvPr id="98" name="Image 98" descr="Picture"/>
        <cNvPicPr/>
      </nvPicPr>
      <blipFill>
        <a:blip xmlns:a="http://schemas.openxmlformats.org/drawingml/2006/main" xmlns:r="http://schemas.openxmlformats.org/officeDocument/2006/relationships" cstate="print" r:embed="rId98"/>
        <a:stretch xmlns:a="http://schemas.openxmlformats.org/drawingml/2006/main">
          <a:fillRect/>
        </a:stretch>
      </blipFill>
      <spPr>
        <a:prstGeom xmlns:a="http://schemas.openxmlformats.org/drawingml/2006/main" prst="rect"/>
      </spPr>
    </pic>
    <clientData/>
  </oneCellAnchor>
  <oneCellAnchor>
    <from>
      <col>0</col>
      <colOff>0</colOff>
      <row>121</row>
      <rowOff>0</rowOff>
    </from>
    <ext cx="247650" cy="247650"/>
    <pic>
      <nvPicPr>
        <cNvPr id="99" name="Image 99" descr="Picture"/>
        <cNvPicPr/>
      </nvPicPr>
      <blipFill>
        <a:blip xmlns:a="http://schemas.openxmlformats.org/drawingml/2006/main" xmlns:r="http://schemas.openxmlformats.org/officeDocument/2006/relationships" cstate="print" r:embed="rId99"/>
        <a:stretch xmlns:a="http://schemas.openxmlformats.org/drawingml/2006/main">
          <a:fillRect/>
        </a:stretch>
      </blipFill>
      <spPr>
        <a:prstGeom xmlns:a="http://schemas.openxmlformats.org/drawingml/2006/main" prst="rect"/>
      </spPr>
    </pic>
    <clientData/>
  </oneCellAnchor>
  <oneCellAnchor>
    <from>
      <col>0</col>
      <colOff>0</colOff>
      <row>122</row>
      <rowOff>0</rowOff>
    </from>
    <ext cx="247650" cy="247650"/>
    <pic>
      <nvPicPr>
        <cNvPr id="100" name="Image 100" descr="Picture"/>
        <cNvPicPr/>
      </nvPicPr>
      <blipFill>
        <a:blip xmlns:a="http://schemas.openxmlformats.org/drawingml/2006/main" xmlns:r="http://schemas.openxmlformats.org/officeDocument/2006/relationships" cstate="print" r:embed="rId100"/>
        <a:stretch xmlns:a="http://schemas.openxmlformats.org/drawingml/2006/main">
          <a:fillRect/>
        </a:stretch>
      </blipFill>
      <spPr>
        <a:prstGeom xmlns:a="http://schemas.openxmlformats.org/drawingml/2006/main" prst="rect"/>
      </spPr>
    </pic>
    <clientData/>
  </oneCellAnchor>
  <oneCellAnchor>
    <from>
      <col>0</col>
      <colOff>0</colOff>
      <row>123</row>
      <rowOff>0</rowOff>
    </from>
    <ext cx="247650" cy="247650"/>
    <pic>
      <nvPicPr>
        <cNvPr id="101" name="Image 101" descr="Picture"/>
        <cNvPicPr/>
      </nvPicPr>
      <blipFill>
        <a:blip xmlns:a="http://schemas.openxmlformats.org/drawingml/2006/main" xmlns:r="http://schemas.openxmlformats.org/officeDocument/2006/relationships" cstate="print" r:embed="rId101"/>
        <a:stretch xmlns:a="http://schemas.openxmlformats.org/drawingml/2006/main">
          <a:fillRect/>
        </a:stretch>
      </blipFill>
      <spPr>
        <a:prstGeom xmlns:a="http://schemas.openxmlformats.org/drawingml/2006/main" prst="rect"/>
      </spPr>
    </pic>
    <clientData/>
  </oneCellAnchor>
  <oneCellAnchor>
    <from>
      <col>0</col>
      <colOff>0</colOff>
      <row>125</row>
      <rowOff>0</rowOff>
    </from>
    <ext cx="209550" cy="323850"/>
    <pic>
      <nvPicPr>
        <cNvPr id="102" name="Image 102" descr="Picture"/>
        <cNvPicPr/>
      </nvPicPr>
      <blipFill>
        <a:blip xmlns:a="http://schemas.openxmlformats.org/drawingml/2006/main" xmlns:r="http://schemas.openxmlformats.org/officeDocument/2006/relationships" cstate="print" r:embed="rId102"/>
        <a:stretch xmlns:a="http://schemas.openxmlformats.org/drawingml/2006/main">
          <a:fillRect/>
        </a:stretch>
      </blipFill>
      <spPr>
        <a:prstGeom xmlns:a="http://schemas.openxmlformats.org/drawingml/2006/main" prst="rect"/>
      </spPr>
    </pic>
    <clientData/>
  </oneCellAnchor>
  <oneCellAnchor>
    <from>
      <col>0</col>
      <colOff>0</colOff>
      <row>126</row>
      <rowOff>0</rowOff>
    </from>
    <ext cx="209550" cy="323850"/>
    <pic>
      <nvPicPr>
        <cNvPr id="103" name="Image 103" descr="Picture"/>
        <cNvPicPr/>
      </nvPicPr>
      <blipFill>
        <a:blip xmlns:a="http://schemas.openxmlformats.org/drawingml/2006/main" xmlns:r="http://schemas.openxmlformats.org/officeDocument/2006/relationships" cstate="print" r:embed="rId103"/>
        <a:stretch xmlns:a="http://schemas.openxmlformats.org/drawingml/2006/main">
          <a:fillRect/>
        </a:stretch>
      </blipFill>
      <spPr>
        <a:prstGeom xmlns:a="http://schemas.openxmlformats.org/drawingml/2006/main" prst="rect"/>
      </spPr>
    </pic>
    <clientData/>
  </oneCellAnchor>
  <oneCellAnchor>
    <from>
      <col>0</col>
      <colOff>0</colOff>
      <row>127</row>
      <rowOff>0</rowOff>
    </from>
    <ext cx="171450" cy="323850"/>
    <pic>
      <nvPicPr>
        <cNvPr id="104" name="Image 104" descr="Picture"/>
        <cNvPicPr/>
      </nvPicPr>
      <blipFill>
        <a:blip xmlns:a="http://schemas.openxmlformats.org/drawingml/2006/main" xmlns:r="http://schemas.openxmlformats.org/officeDocument/2006/relationships" cstate="print" r:embed="rId104"/>
        <a:stretch xmlns:a="http://schemas.openxmlformats.org/drawingml/2006/main">
          <a:fillRect/>
        </a:stretch>
      </blipFill>
      <spPr>
        <a:prstGeom xmlns:a="http://schemas.openxmlformats.org/drawingml/2006/main" prst="rect"/>
      </spPr>
    </pic>
    <clientData/>
  </oneCellAnchor>
  <oneCellAnchor>
    <from>
      <col>0</col>
      <colOff>0</colOff>
      <row>128</row>
      <rowOff>0</rowOff>
    </from>
    <ext cx="200025" cy="323850"/>
    <pic>
      <nvPicPr>
        <cNvPr id="105" name="Image 105" descr="Picture"/>
        <cNvPicPr/>
      </nvPicPr>
      <blipFill>
        <a:blip xmlns:a="http://schemas.openxmlformats.org/drawingml/2006/main" xmlns:r="http://schemas.openxmlformats.org/officeDocument/2006/relationships" cstate="print" r:embed="rId105"/>
        <a:stretch xmlns:a="http://schemas.openxmlformats.org/drawingml/2006/main">
          <a:fillRect/>
        </a:stretch>
      </blipFill>
      <spPr>
        <a:prstGeom xmlns:a="http://schemas.openxmlformats.org/drawingml/2006/main" prst="rect"/>
      </spPr>
    </pic>
    <clientData/>
  </oneCellAnchor>
  <oneCellAnchor>
    <from>
      <col>0</col>
      <colOff>0</colOff>
      <row>129</row>
      <rowOff>0</rowOff>
    </from>
    <ext cx="323850" cy="323850"/>
    <pic>
      <nvPicPr>
        <cNvPr id="106" name="Image 106" descr="Picture"/>
        <cNvPicPr/>
      </nvPicPr>
      <blipFill>
        <a:blip xmlns:a="http://schemas.openxmlformats.org/drawingml/2006/main" xmlns:r="http://schemas.openxmlformats.org/officeDocument/2006/relationships" cstate="print" r:embed="rId106"/>
        <a:stretch xmlns:a="http://schemas.openxmlformats.org/drawingml/2006/main">
          <a:fillRect/>
        </a:stretch>
      </blipFill>
      <spPr>
        <a:prstGeom xmlns:a="http://schemas.openxmlformats.org/drawingml/2006/main" prst="rect"/>
      </spPr>
    </pic>
    <clientData/>
  </oneCellAnchor>
  <oneCellAnchor>
    <from>
      <col>0</col>
      <colOff>0</colOff>
      <row>130</row>
      <rowOff>0</rowOff>
    </from>
    <ext cx="304800" cy="323850"/>
    <pic>
      <nvPicPr>
        <cNvPr id="107" name="Image 107" descr="Picture"/>
        <cNvPicPr/>
      </nvPicPr>
      <blipFill>
        <a:blip xmlns:a="http://schemas.openxmlformats.org/drawingml/2006/main" xmlns:r="http://schemas.openxmlformats.org/officeDocument/2006/relationships" cstate="print" r:embed="rId107"/>
        <a:stretch xmlns:a="http://schemas.openxmlformats.org/drawingml/2006/main">
          <a:fillRect/>
        </a:stretch>
      </blipFill>
      <spPr>
        <a:prstGeom xmlns:a="http://schemas.openxmlformats.org/drawingml/2006/main" prst="rect"/>
      </spPr>
    </pic>
    <clientData/>
  </oneCellAnchor>
  <oneCellAnchor>
    <from>
      <col>0</col>
      <colOff>0</colOff>
      <row>131</row>
      <rowOff>0</rowOff>
    </from>
    <ext cx="304800" cy="323850"/>
    <pic>
      <nvPicPr>
        <cNvPr id="108" name="Image 108" descr="Picture"/>
        <cNvPicPr/>
      </nvPicPr>
      <blipFill>
        <a:blip xmlns:a="http://schemas.openxmlformats.org/drawingml/2006/main" xmlns:r="http://schemas.openxmlformats.org/officeDocument/2006/relationships" cstate="print" r:embed="rId108"/>
        <a:stretch xmlns:a="http://schemas.openxmlformats.org/drawingml/2006/main">
          <a:fillRect/>
        </a:stretch>
      </blipFill>
      <spPr>
        <a:prstGeom xmlns:a="http://schemas.openxmlformats.org/drawingml/2006/main" prst="rect"/>
      </spPr>
    </pic>
    <clientData/>
  </oneCellAnchor>
  <oneCellAnchor>
    <from>
      <col>0</col>
      <colOff>0</colOff>
      <row>132</row>
      <rowOff>0</rowOff>
    </from>
    <ext cx="323850" cy="323850"/>
    <pic>
      <nvPicPr>
        <cNvPr id="109" name="Image 109" descr="Picture"/>
        <cNvPicPr/>
      </nvPicPr>
      <blipFill>
        <a:blip xmlns:a="http://schemas.openxmlformats.org/drawingml/2006/main" xmlns:r="http://schemas.openxmlformats.org/officeDocument/2006/relationships" cstate="print" r:embed="rId109"/>
        <a:stretch xmlns:a="http://schemas.openxmlformats.org/drawingml/2006/main">
          <a:fillRect/>
        </a:stretch>
      </blipFill>
      <spPr>
        <a:prstGeom xmlns:a="http://schemas.openxmlformats.org/drawingml/2006/main" prst="rect"/>
      </spPr>
    </pic>
    <clientData/>
  </oneCellAnchor>
  <oneCellAnchor>
    <from>
      <col>0</col>
      <colOff>0</colOff>
      <row>133</row>
      <rowOff>0</rowOff>
    </from>
    <ext cx="323850" cy="323850"/>
    <pic>
      <nvPicPr>
        <cNvPr id="110" name="Image 110" descr="Picture"/>
        <cNvPicPr/>
      </nvPicPr>
      <blipFill>
        <a:blip xmlns:a="http://schemas.openxmlformats.org/drawingml/2006/main" xmlns:r="http://schemas.openxmlformats.org/officeDocument/2006/relationships" cstate="print" r:embed="rId110"/>
        <a:stretch xmlns:a="http://schemas.openxmlformats.org/drawingml/2006/main">
          <a:fillRect/>
        </a:stretch>
      </blipFill>
      <spPr>
        <a:prstGeom xmlns:a="http://schemas.openxmlformats.org/drawingml/2006/main" prst="rect"/>
      </spPr>
    </pic>
    <clientData/>
  </oneCellAnchor>
  <oneCellAnchor>
    <from>
      <col>0</col>
      <colOff>0</colOff>
      <row>134</row>
      <rowOff>0</rowOff>
    </from>
    <ext cx="323850" cy="190500"/>
    <pic>
      <nvPicPr>
        <cNvPr id="111" name="Image 111" descr="Picture"/>
        <cNvPicPr/>
      </nvPicPr>
      <blipFill>
        <a:blip xmlns:a="http://schemas.openxmlformats.org/drawingml/2006/main" xmlns:r="http://schemas.openxmlformats.org/officeDocument/2006/relationships" cstate="print" r:embed="rId111"/>
        <a:stretch xmlns:a="http://schemas.openxmlformats.org/drawingml/2006/main">
          <a:fillRect/>
        </a:stretch>
      </blipFill>
      <spPr>
        <a:prstGeom xmlns:a="http://schemas.openxmlformats.org/drawingml/2006/main" prst="rect"/>
      </spPr>
    </pic>
    <clientData/>
  </oneCellAnchor>
  <oneCellAnchor>
    <from>
      <col>0</col>
      <colOff>0</colOff>
      <row>135</row>
      <rowOff>0</rowOff>
    </from>
    <ext cx="323850" cy="323850"/>
    <pic>
      <nvPicPr>
        <cNvPr id="112" name="Image 112" descr="Picture"/>
        <cNvPicPr/>
      </nvPicPr>
      <blipFill>
        <a:blip xmlns:a="http://schemas.openxmlformats.org/drawingml/2006/main" xmlns:r="http://schemas.openxmlformats.org/officeDocument/2006/relationships" cstate="print" r:embed="rId112"/>
        <a:stretch xmlns:a="http://schemas.openxmlformats.org/drawingml/2006/main">
          <a:fillRect/>
        </a:stretch>
      </blipFill>
      <spPr>
        <a:prstGeom xmlns:a="http://schemas.openxmlformats.org/drawingml/2006/main" prst="rect"/>
      </spPr>
    </pic>
    <clientData/>
  </oneCellAnchor>
  <oneCellAnchor>
    <from>
      <col>0</col>
      <colOff>0</colOff>
      <row>136</row>
      <rowOff>0</rowOff>
    </from>
    <ext cx="323850" cy="323850"/>
    <pic>
      <nvPicPr>
        <cNvPr id="113" name="Image 113" descr="Picture"/>
        <cNvPicPr/>
      </nvPicPr>
      <blipFill>
        <a:blip xmlns:a="http://schemas.openxmlformats.org/drawingml/2006/main" xmlns:r="http://schemas.openxmlformats.org/officeDocument/2006/relationships" cstate="print" r:embed="rId113"/>
        <a:stretch xmlns:a="http://schemas.openxmlformats.org/drawingml/2006/main">
          <a:fillRect/>
        </a:stretch>
      </blipFill>
      <spPr>
        <a:prstGeom xmlns:a="http://schemas.openxmlformats.org/drawingml/2006/main" prst="rect"/>
      </spPr>
    </pic>
    <clientData/>
  </oneCellAnchor>
  <oneCellAnchor>
    <from>
      <col>0</col>
      <colOff>0</colOff>
      <row>138</row>
      <rowOff>0</rowOff>
    </from>
    <ext cx="161925" cy="323850"/>
    <pic>
      <nvPicPr>
        <cNvPr id="114" name="Image 114" descr="Picture"/>
        <cNvPicPr/>
      </nvPicPr>
      <blipFill>
        <a:blip xmlns:a="http://schemas.openxmlformats.org/drawingml/2006/main" xmlns:r="http://schemas.openxmlformats.org/officeDocument/2006/relationships" cstate="print" r:embed="rId114"/>
        <a:stretch xmlns:a="http://schemas.openxmlformats.org/drawingml/2006/main">
          <a:fillRect/>
        </a:stretch>
      </blipFill>
      <spPr>
        <a:prstGeom xmlns:a="http://schemas.openxmlformats.org/drawingml/2006/main" prst="rect"/>
      </spPr>
    </pic>
    <clientData/>
  </oneCellAnchor>
  <oneCellAnchor>
    <from>
      <col>0</col>
      <colOff>0</colOff>
      <row>139</row>
      <rowOff>0</rowOff>
    </from>
    <ext cx="209550" cy="323850"/>
    <pic>
      <nvPicPr>
        <cNvPr id="115" name="Image 115" descr="Picture"/>
        <cNvPicPr/>
      </nvPicPr>
      <blipFill>
        <a:blip xmlns:a="http://schemas.openxmlformats.org/drawingml/2006/main" xmlns:r="http://schemas.openxmlformats.org/officeDocument/2006/relationships" cstate="print" r:embed="rId115"/>
        <a:stretch xmlns:a="http://schemas.openxmlformats.org/drawingml/2006/main">
          <a:fillRect/>
        </a:stretch>
      </blipFill>
      <spPr>
        <a:prstGeom xmlns:a="http://schemas.openxmlformats.org/drawingml/2006/main" prst="rect"/>
      </spPr>
    </pic>
    <clientData/>
  </oneCellAnchor>
  <oneCellAnchor>
    <from>
      <col>0</col>
      <colOff>0</colOff>
      <row>140</row>
      <rowOff>0</rowOff>
    </from>
    <ext cx="323850" cy="323850"/>
    <pic>
      <nvPicPr>
        <cNvPr id="116" name="Image 116" descr="Picture"/>
        <cNvPicPr/>
      </nvPicPr>
      <blipFill>
        <a:blip xmlns:a="http://schemas.openxmlformats.org/drawingml/2006/main" xmlns:r="http://schemas.openxmlformats.org/officeDocument/2006/relationships" cstate="print" r:embed="rId116"/>
        <a:stretch xmlns:a="http://schemas.openxmlformats.org/drawingml/2006/main">
          <a:fillRect/>
        </a:stretch>
      </blipFill>
      <spPr>
        <a:prstGeom xmlns:a="http://schemas.openxmlformats.org/drawingml/2006/main" prst="rect"/>
      </spPr>
    </pic>
    <clientData/>
  </oneCellAnchor>
  <oneCellAnchor>
    <from>
      <col>0</col>
      <colOff>0</colOff>
      <row>141</row>
      <rowOff>0</rowOff>
    </from>
    <ext cx="200025" cy="323850"/>
    <pic>
      <nvPicPr>
        <cNvPr id="117" name="Image 117" descr="Picture"/>
        <cNvPicPr/>
      </nvPicPr>
      <blipFill>
        <a:blip xmlns:a="http://schemas.openxmlformats.org/drawingml/2006/main" xmlns:r="http://schemas.openxmlformats.org/officeDocument/2006/relationships" cstate="print" r:embed="rId117"/>
        <a:stretch xmlns:a="http://schemas.openxmlformats.org/drawingml/2006/main">
          <a:fillRect/>
        </a:stretch>
      </blipFill>
      <spPr>
        <a:prstGeom xmlns:a="http://schemas.openxmlformats.org/drawingml/2006/main" prst="rect"/>
      </spPr>
    </pic>
    <clientData/>
  </oneCellAnchor>
  <oneCellAnchor>
    <from>
      <col>0</col>
      <colOff>0</colOff>
      <row>142</row>
      <rowOff>0</rowOff>
    </from>
    <ext cx="323850" cy="314325"/>
    <pic>
      <nvPicPr>
        <cNvPr id="118" name="Image 118" descr="Picture"/>
        <cNvPicPr/>
      </nvPicPr>
      <blipFill>
        <a:blip xmlns:a="http://schemas.openxmlformats.org/drawingml/2006/main" xmlns:r="http://schemas.openxmlformats.org/officeDocument/2006/relationships" cstate="print" r:embed="rId118"/>
        <a:stretch xmlns:a="http://schemas.openxmlformats.org/drawingml/2006/main">
          <a:fillRect/>
        </a:stretch>
      </blipFill>
      <spPr>
        <a:prstGeom xmlns:a="http://schemas.openxmlformats.org/drawingml/2006/main" prst="rect"/>
      </spPr>
    </pic>
    <clientData/>
  </oneCellAnchor>
  <oneCellAnchor>
    <from>
      <col>0</col>
      <colOff>0</colOff>
      <row>143</row>
      <rowOff>0</rowOff>
    </from>
    <ext cx="304800" cy="323850"/>
    <pic>
      <nvPicPr>
        <cNvPr id="119" name="Image 119" descr="Picture"/>
        <cNvPicPr/>
      </nvPicPr>
      <blipFill>
        <a:blip xmlns:a="http://schemas.openxmlformats.org/drawingml/2006/main" xmlns:r="http://schemas.openxmlformats.org/officeDocument/2006/relationships" cstate="print" r:embed="rId119"/>
        <a:stretch xmlns:a="http://schemas.openxmlformats.org/drawingml/2006/main">
          <a:fillRect/>
        </a:stretch>
      </blipFill>
      <spPr>
        <a:prstGeom xmlns:a="http://schemas.openxmlformats.org/drawingml/2006/main" prst="rect"/>
      </spPr>
    </pic>
    <clientData/>
  </oneCellAnchor>
  <oneCellAnchor>
    <from>
      <col>0</col>
      <colOff>0</colOff>
      <row>144</row>
      <rowOff>0</rowOff>
    </from>
    <ext cx="304800" cy="323850"/>
    <pic>
      <nvPicPr>
        <cNvPr id="120" name="Image 120" descr="Picture"/>
        <cNvPicPr/>
      </nvPicPr>
      <blipFill>
        <a:blip xmlns:a="http://schemas.openxmlformats.org/drawingml/2006/main" xmlns:r="http://schemas.openxmlformats.org/officeDocument/2006/relationships" cstate="print" r:embed="rId120"/>
        <a:stretch xmlns:a="http://schemas.openxmlformats.org/drawingml/2006/main">
          <a:fillRect/>
        </a:stretch>
      </blipFill>
      <spPr>
        <a:prstGeom xmlns:a="http://schemas.openxmlformats.org/drawingml/2006/main" prst="rect"/>
      </spPr>
    </pic>
    <clientData/>
  </oneCellAnchor>
  <oneCellAnchor>
    <from>
      <col>0</col>
      <colOff>0</colOff>
      <row>145</row>
      <rowOff>0</rowOff>
    </from>
    <ext cx="323850" cy="323850"/>
    <pic>
      <nvPicPr>
        <cNvPr id="121" name="Image 121" descr="Picture"/>
        <cNvPicPr/>
      </nvPicPr>
      <blipFill>
        <a:blip xmlns:a="http://schemas.openxmlformats.org/drawingml/2006/main" xmlns:r="http://schemas.openxmlformats.org/officeDocument/2006/relationships" cstate="print" r:embed="rId121"/>
        <a:stretch xmlns:a="http://schemas.openxmlformats.org/drawingml/2006/main">
          <a:fillRect/>
        </a:stretch>
      </blipFill>
      <spPr>
        <a:prstGeom xmlns:a="http://schemas.openxmlformats.org/drawingml/2006/main" prst="rect"/>
      </spPr>
    </pic>
    <clientData/>
  </oneCellAnchor>
  <oneCellAnchor>
    <from>
      <col>0</col>
      <colOff>0</colOff>
      <row>146</row>
      <rowOff>0</rowOff>
    </from>
    <ext cx="323850" cy="323850"/>
    <pic>
      <nvPicPr>
        <cNvPr id="122" name="Image 122" descr="Picture"/>
        <cNvPicPr/>
      </nvPicPr>
      <blipFill>
        <a:blip xmlns:a="http://schemas.openxmlformats.org/drawingml/2006/main" xmlns:r="http://schemas.openxmlformats.org/officeDocument/2006/relationships" cstate="print" r:embed="rId122"/>
        <a:stretch xmlns:a="http://schemas.openxmlformats.org/drawingml/2006/main">
          <a:fillRect/>
        </a:stretch>
      </blipFill>
      <spPr>
        <a:prstGeom xmlns:a="http://schemas.openxmlformats.org/drawingml/2006/main" prst="rect"/>
      </spPr>
    </pic>
    <clientData/>
  </oneCellAnchor>
  <oneCellAnchor>
    <from>
      <col>0</col>
      <colOff>0</colOff>
      <row>147</row>
      <rowOff>0</rowOff>
    </from>
    <ext cx="323850" cy="171450"/>
    <pic>
      <nvPicPr>
        <cNvPr id="123" name="Image 123" descr="Picture"/>
        <cNvPicPr/>
      </nvPicPr>
      <blipFill>
        <a:blip xmlns:a="http://schemas.openxmlformats.org/drawingml/2006/main" xmlns:r="http://schemas.openxmlformats.org/officeDocument/2006/relationships" cstate="print" r:embed="rId123"/>
        <a:stretch xmlns:a="http://schemas.openxmlformats.org/drawingml/2006/main">
          <a:fillRect/>
        </a:stretch>
      </blipFill>
      <spPr>
        <a:prstGeom xmlns:a="http://schemas.openxmlformats.org/drawingml/2006/main" prst="rect"/>
      </spPr>
    </pic>
    <clientData/>
  </oneCellAnchor>
  <oneCellAnchor>
    <from>
      <col>0</col>
      <colOff>0</colOff>
      <row>148</row>
      <rowOff>0</rowOff>
    </from>
    <ext cx="323850" cy="323850"/>
    <pic>
      <nvPicPr>
        <cNvPr id="124" name="Image 124" descr="Picture"/>
        <cNvPicPr/>
      </nvPicPr>
      <blipFill>
        <a:blip xmlns:a="http://schemas.openxmlformats.org/drawingml/2006/main" xmlns:r="http://schemas.openxmlformats.org/officeDocument/2006/relationships" cstate="print" r:embed="rId124"/>
        <a:stretch xmlns:a="http://schemas.openxmlformats.org/drawingml/2006/main">
          <a:fillRect/>
        </a:stretch>
      </blipFill>
      <spPr>
        <a:prstGeom xmlns:a="http://schemas.openxmlformats.org/drawingml/2006/main" prst="rect"/>
      </spPr>
    </pic>
    <clientData/>
  </oneCellAnchor>
  <oneCellAnchor>
    <from>
      <col>0</col>
      <colOff>0</colOff>
      <row>149</row>
      <rowOff>0</rowOff>
    </from>
    <ext cx="323850" cy="323850"/>
    <pic>
      <nvPicPr>
        <cNvPr id="125" name="Image 125" descr="Picture"/>
        <cNvPicPr/>
      </nvPicPr>
      <blipFill>
        <a:blip xmlns:a="http://schemas.openxmlformats.org/drawingml/2006/main" xmlns:r="http://schemas.openxmlformats.org/officeDocument/2006/relationships" cstate="print" r:embed="rId125"/>
        <a:stretch xmlns:a="http://schemas.openxmlformats.org/drawingml/2006/main">
          <a:fillRect/>
        </a:stretch>
      </blipFill>
      <spPr>
        <a:prstGeom xmlns:a="http://schemas.openxmlformats.org/drawingml/2006/main" prst="rect"/>
      </spPr>
    </pic>
    <clientData/>
  </oneCellAnchor>
  <oneCellAnchor>
    <from>
      <col>0</col>
      <colOff>0</colOff>
      <row>153</row>
      <rowOff>0</rowOff>
    </from>
    <ext cx="247650" cy="247650"/>
    <pic>
      <nvPicPr>
        <cNvPr id="126" name="Image 126" descr="Picture"/>
        <cNvPicPr/>
      </nvPicPr>
      <blipFill>
        <a:blip xmlns:a="http://schemas.openxmlformats.org/drawingml/2006/main" xmlns:r="http://schemas.openxmlformats.org/officeDocument/2006/relationships" cstate="print" r:embed="rId126"/>
        <a:stretch xmlns:a="http://schemas.openxmlformats.org/drawingml/2006/main">
          <a:fillRect/>
        </a:stretch>
      </blipFill>
      <spPr>
        <a:prstGeom xmlns:a="http://schemas.openxmlformats.org/drawingml/2006/main" prst="rect"/>
      </spPr>
    </pic>
    <clientData/>
  </oneCellAnchor>
  <oneCellAnchor>
    <from>
      <col>0</col>
      <colOff>0</colOff>
      <row>154</row>
      <rowOff>0</rowOff>
    </from>
    <ext cx="247650" cy="247650"/>
    <pic>
      <nvPicPr>
        <cNvPr id="127" name="Image 127" descr="Picture"/>
        <cNvPicPr/>
      </nvPicPr>
      <blipFill>
        <a:blip xmlns:a="http://schemas.openxmlformats.org/drawingml/2006/main" xmlns:r="http://schemas.openxmlformats.org/officeDocument/2006/relationships" cstate="print" r:embed="rId127"/>
        <a:stretch xmlns:a="http://schemas.openxmlformats.org/drawingml/2006/main">
          <a:fillRect/>
        </a:stretch>
      </blipFill>
      <spPr>
        <a:prstGeom xmlns:a="http://schemas.openxmlformats.org/drawingml/2006/main" prst="rect"/>
      </spPr>
    </pic>
    <clientData/>
  </oneCellAnchor>
  <oneCellAnchor>
    <from>
      <col>0</col>
      <colOff>0</colOff>
      <row>155</row>
      <rowOff>0</rowOff>
    </from>
    <ext cx="247650" cy="247650"/>
    <pic>
      <nvPicPr>
        <cNvPr id="128" name="Image 128" descr="Picture"/>
        <cNvPicPr/>
      </nvPicPr>
      <blipFill>
        <a:blip xmlns:a="http://schemas.openxmlformats.org/drawingml/2006/main" xmlns:r="http://schemas.openxmlformats.org/officeDocument/2006/relationships" cstate="print" r:embed="rId128"/>
        <a:stretch xmlns:a="http://schemas.openxmlformats.org/drawingml/2006/main">
          <a:fillRect/>
        </a:stretch>
      </blipFill>
      <spPr>
        <a:prstGeom xmlns:a="http://schemas.openxmlformats.org/drawingml/2006/main" prst="rect"/>
      </spPr>
    </pic>
    <clientData/>
  </oneCellAnchor>
  <oneCellAnchor>
    <from>
      <col>0</col>
      <colOff>0</colOff>
      <row>156</row>
      <rowOff>0</rowOff>
    </from>
    <ext cx="247650" cy="247650"/>
    <pic>
      <nvPicPr>
        <cNvPr id="129" name="Image 129" descr="Picture"/>
        <cNvPicPr/>
      </nvPicPr>
      <blipFill>
        <a:blip xmlns:a="http://schemas.openxmlformats.org/drawingml/2006/main" xmlns:r="http://schemas.openxmlformats.org/officeDocument/2006/relationships" cstate="print" r:embed="rId129"/>
        <a:stretch xmlns:a="http://schemas.openxmlformats.org/drawingml/2006/main">
          <a:fillRect/>
        </a:stretch>
      </blipFill>
      <spPr>
        <a:prstGeom xmlns:a="http://schemas.openxmlformats.org/drawingml/2006/main" prst="rect"/>
      </spPr>
    </pic>
    <clientData/>
  </oneCellAnchor>
  <oneCellAnchor>
    <from>
      <col>0</col>
      <colOff>0</colOff>
      <row>157</row>
      <rowOff>0</rowOff>
    </from>
    <ext cx="247650" cy="247650"/>
    <pic>
      <nvPicPr>
        <cNvPr id="130" name="Image 130" descr="Picture"/>
        <cNvPicPr/>
      </nvPicPr>
      <blipFill>
        <a:blip xmlns:a="http://schemas.openxmlformats.org/drawingml/2006/main" xmlns:r="http://schemas.openxmlformats.org/officeDocument/2006/relationships" cstate="print" r:embed="rId130"/>
        <a:stretch xmlns:a="http://schemas.openxmlformats.org/drawingml/2006/main">
          <a:fillRect/>
        </a:stretch>
      </blipFill>
      <spPr>
        <a:prstGeom xmlns:a="http://schemas.openxmlformats.org/drawingml/2006/main" prst="rect"/>
      </spPr>
    </pic>
    <clientData/>
  </oneCellAnchor>
  <oneCellAnchor>
    <from>
      <col>0</col>
      <colOff>0</colOff>
      <row>158</row>
      <rowOff>0</rowOff>
    </from>
    <ext cx="247650" cy="247650"/>
    <pic>
      <nvPicPr>
        <cNvPr id="131" name="Image 131" descr="Picture"/>
        <cNvPicPr/>
      </nvPicPr>
      <blipFill>
        <a:blip xmlns:a="http://schemas.openxmlformats.org/drawingml/2006/main" xmlns:r="http://schemas.openxmlformats.org/officeDocument/2006/relationships" cstate="print" r:embed="rId131"/>
        <a:stretch xmlns:a="http://schemas.openxmlformats.org/drawingml/2006/main">
          <a:fillRect/>
        </a:stretch>
      </blipFill>
      <spPr>
        <a:prstGeom xmlns:a="http://schemas.openxmlformats.org/drawingml/2006/main" prst="rect"/>
      </spPr>
    </pic>
    <clientData/>
  </oneCellAnchor>
  <oneCellAnchor>
    <from>
      <col>0</col>
      <colOff>0</colOff>
      <row>159</row>
      <rowOff>0</rowOff>
    </from>
    <ext cx="247650" cy="247650"/>
    <pic>
      <nvPicPr>
        <cNvPr id="132" name="Image 132" descr="Picture"/>
        <cNvPicPr/>
      </nvPicPr>
      <blipFill>
        <a:blip xmlns:a="http://schemas.openxmlformats.org/drawingml/2006/main" xmlns:r="http://schemas.openxmlformats.org/officeDocument/2006/relationships" cstate="print" r:embed="rId132"/>
        <a:stretch xmlns:a="http://schemas.openxmlformats.org/drawingml/2006/main">
          <a:fillRect/>
        </a:stretch>
      </blipFill>
      <spPr>
        <a:prstGeom xmlns:a="http://schemas.openxmlformats.org/drawingml/2006/main" prst="rect"/>
      </spPr>
    </pic>
    <clientData/>
  </oneCellAnchor>
  <oneCellAnchor>
    <from>
      <col>0</col>
      <colOff>0</colOff>
      <row>160</row>
      <rowOff>0</rowOff>
    </from>
    <ext cx="247650" cy="247650"/>
    <pic>
      <nvPicPr>
        <cNvPr id="133" name="Image 133" descr="Picture"/>
        <cNvPicPr/>
      </nvPicPr>
      <blipFill>
        <a:blip xmlns:a="http://schemas.openxmlformats.org/drawingml/2006/main" xmlns:r="http://schemas.openxmlformats.org/officeDocument/2006/relationships" cstate="print" r:embed="rId133"/>
        <a:stretch xmlns:a="http://schemas.openxmlformats.org/drawingml/2006/main">
          <a:fillRect/>
        </a:stretch>
      </blipFill>
      <spPr>
        <a:prstGeom xmlns:a="http://schemas.openxmlformats.org/drawingml/2006/main" prst="rect"/>
      </spPr>
    </pic>
    <clientData/>
  </oneCellAnchor>
  <oneCellAnchor>
    <from>
      <col>0</col>
      <colOff>0</colOff>
      <row>161</row>
      <rowOff>0</rowOff>
    </from>
    <ext cx="247650" cy="247650"/>
    <pic>
      <nvPicPr>
        <cNvPr id="134" name="Image 134" descr="Picture"/>
        <cNvPicPr/>
      </nvPicPr>
      <blipFill>
        <a:blip xmlns:a="http://schemas.openxmlformats.org/drawingml/2006/main" xmlns:r="http://schemas.openxmlformats.org/officeDocument/2006/relationships" cstate="print" r:embed="rId134"/>
        <a:stretch xmlns:a="http://schemas.openxmlformats.org/drawingml/2006/main">
          <a:fillRect/>
        </a:stretch>
      </blipFill>
      <spPr>
        <a:prstGeom xmlns:a="http://schemas.openxmlformats.org/drawingml/2006/main" prst="rect"/>
      </spPr>
    </pic>
    <clientData/>
  </oneCellAnchor>
  <oneCellAnchor>
    <from>
      <col>0</col>
      <colOff>0</colOff>
      <row>162</row>
      <rowOff>0</rowOff>
    </from>
    <ext cx="247650" cy="247650"/>
    <pic>
      <nvPicPr>
        <cNvPr id="135" name="Image 135" descr="Picture"/>
        <cNvPicPr/>
      </nvPicPr>
      <blipFill>
        <a:blip xmlns:a="http://schemas.openxmlformats.org/drawingml/2006/main" xmlns:r="http://schemas.openxmlformats.org/officeDocument/2006/relationships" cstate="print" r:embed="rId135"/>
        <a:stretch xmlns:a="http://schemas.openxmlformats.org/drawingml/2006/main">
          <a:fillRect/>
        </a:stretch>
      </blipFill>
      <spPr>
        <a:prstGeom xmlns:a="http://schemas.openxmlformats.org/drawingml/2006/main" prst="rect"/>
      </spPr>
    </pic>
    <clientData/>
  </oneCellAnchor>
  <oneCellAnchor>
    <from>
      <col>0</col>
      <colOff>0</colOff>
      <row>163</row>
      <rowOff>0</rowOff>
    </from>
    <ext cx="247650" cy="247650"/>
    <pic>
      <nvPicPr>
        <cNvPr id="136" name="Image 136" descr="Picture"/>
        <cNvPicPr/>
      </nvPicPr>
      <blipFill>
        <a:blip xmlns:a="http://schemas.openxmlformats.org/drawingml/2006/main" xmlns:r="http://schemas.openxmlformats.org/officeDocument/2006/relationships" cstate="print" r:embed="rId136"/>
        <a:stretch xmlns:a="http://schemas.openxmlformats.org/drawingml/2006/main">
          <a:fillRect/>
        </a:stretch>
      </blipFill>
      <spPr>
        <a:prstGeom xmlns:a="http://schemas.openxmlformats.org/drawingml/2006/main" prst="rect"/>
      </spPr>
    </pic>
    <clientData/>
  </oneCellAnchor>
  <oneCellAnchor>
    <from>
      <col>0</col>
      <colOff>0</colOff>
      <row>164</row>
      <rowOff>0</rowOff>
    </from>
    <ext cx="247650" cy="247650"/>
    <pic>
      <nvPicPr>
        <cNvPr id="137" name="Image 137" descr="Picture"/>
        <cNvPicPr/>
      </nvPicPr>
      <blipFill>
        <a:blip xmlns:a="http://schemas.openxmlformats.org/drawingml/2006/main" xmlns:r="http://schemas.openxmlformats.org/officeDocument/2006/relationships" cstate="print" r:embed="rId137"/>
        <a:stretch xmlns:a="http://schemas.openxmlformats.org/drawingml/2006/main">
          <a:fillRect/>
        </a:stretch>
      </blipFill>
      <spPr>
        <a:prstGeom xmlns:a="http://schemas.openxmlformats.org/drawingml/2006/main" prst="rect"/>
      </spPr>
    </pic>
    <clientData/>
  </oneCellAnchor>
  <oneCellAnchor>
    <from>
      <col>0</col>
      <colOff>0</colOff>
      <row>165</row>
      <rowOff>0</rowOff>
    </from>
    <ext cx="247650" cy="247650"/>
    <pic>
      <nvPicPr>
        <cNvPr id="138" name="Image 138" descr="Picture"/>
        <cNvPicPr/>
      </nvPicPr>
      <blipFill>
        <a:blip xmlns:a="http://schemas.openxmlformats.org/drawingml/2006/main" xmlns:r="http://schemas.openxmlformats.org/officeDocument/2006/relationships" cstate="print" r:embed="rId138"/>
        <a:stretch xmlns:a="http://schemas.openxmlformats.org/drawingml/2006/main">
          <a:fillRect/>
        </a:stretch>
      </blipFill>
      <spPr>
        <a:prstGeom xmlns:a="http://schemas.openxmlformats.org/drawingml/2006/main" prst="rect"/>
      </spPr>
    </pic>
    <clientData/>
  </oneCellAnchor>
  <oneCellAnchor>
    <from>
      <col>0</col>
      <colOff>0</colOff>
      <row>166</row>
      <rowOff>0</rowOff>
    </from>
    <ext cx="247650" cy="247650"/>
    <pic>
      <nvPicPr>
        <cNvPr id="139" name="Image 139" descr="Picture"/>
        <cNvPicPr/>
      </nvPicPr>
      <blipFill>
        <a:blip xmlns:a="http://schemas.openxmlformats.org/drawingml/2006/main" xmlns:r="http://schemas.openxmlformats.org/officeDocument/2006/relationships" cstate="print" r:embed="rId139"/>
        <a:stretch xmlns:a="http://schemas.openxmlformats.org/drawingml/2006/main">
          <a:fillRect/>
        </a:stretch>
      </blipFill>
      <spPr>
        <a:prstGeom xmlns:a="http://schemas.openxmlformats.org/drawingml/2006/main" prst="rect"/>
      </spPr>
    </pic>
    <clientData/>
  </oneCellAnchor>
  <oneCellAnchor>
    <from>
      <col>0</col>
      <colOff>0</colOff>
      <row>167</row>
      <rowOff>0</rowOff>
    </from>
    <ext cx="247650" cy="247650"/>
    <pic>
      <nvPicPr>
        <cNvPr id="140" name="Image 140" descr="Picture"/>
        <cNvPicPr/>
      </nvPicPr>
      <blipFill>
        <a:blip xmlns:a="http://schemas.openxmlformats.org/drawingml/2006/main" xmlns:r="http://schemas.openxmlformats.org/officeDocument/2006/relationships" cstate="print" r:embed="rId140"/>
        <a:stretch xmlns:a="http://schemas.openxmlformats.org/drawingml/2006/main">
          <a:fillRect/>
        </a:stretch>
      </blipFill>
      <spPr>
        <a:prstGeom xmlns:a="http://schemas.openxmlformats.org/drawingml/2006/main" prst="rect"/>
      </spPr>
    </pic>
    <clientData/>
  </oneCellAnchor>
  <oneCellAnchor>
    <from>
      <col>0</col>
      <colOff>0</colOff>
      <row>168</row>
      <rowOff>0</rowOff>
    </from>
    <ext cx="247650" cy="247650"/>
    <pic>
      <nvPicPr>
        <cNvPr id="141" name="Image 141" descr="Picture"/>
        <cNvPicPr/>
      </nvPicPr>
      <blipFill>
        <a:blip xmlns:a="http://schemas.openxmlformats.org/drawingml/2006/main" xmlns:r="http://schemas.openxmlformats.org/officeDocument/2006/relationships" cstate="print" r:embed="rId141"/>
        <a:stretch xmlns:a="http://schemas.openxmlformats.org/drawingml/2006/main">
          <a:fillRect/>
        </a:stretch>
      </blipFill>
      <spPr>
        <a:prstGeom xmlns:a="http://schemas.openxmlformats.org/drawingml/2006/main" prst="rect"/>
      </spPr>
    </pic>
    <clientData/>
  </oneCellAnchor>
  <oneCellAnchor>
    <from>
      <col>0</col>
      <colOff>0</colOff>
      <row>169</row>
      <rowOff>0</rowOff>
    </from>
    <ext cx="247650" cy="247650"/>
    <pic>
      <nvPicPr>
        <cNvPr id="142" name="Image 142" descr="Picture"/>
        <cNvPicPr/>
      </nvPicPr>
      <blipFill>
        <a:blip xmlns:a="http://schemas.openxmlformats.org/drawingml/2006/main" xmlns:r="http://schemas.openxmlformats.org/officeDocument/2006/relationships" cstate="print" r:embed="rId142"/>
        <a:stretch xmlns:a="http://schemas.openxmlformats.org/drawingml/2006/main">
          <a:fillRect/>
        </a:stretch>
      </blipFill>
      <spPr>
        <a:prstGeom xmlns:a="http://schemas.openxmlformats.org/drawingml/2006/main" prst="rect"/>
      </spPr>
    </pic>
    <clientData/>
  </oneCellAnchor>
  <oneCellAnchor>
    <from>
      <col>0</col>
      <colOff>0</colOff>
      <row>170</row>
      <rowOff>0</rowOff>
    </from>
    <ext cx="247650" cy="247650"/>
    <pic>
      <nvPicPr>
        <cNvPr id="143" name="Image 143" descr="Picture"/>
        <cNvPicPr/>
      </nvPicPr>
      <blipFill>
        <a:blip xmlns:a="http://schemas.openxmlformats.org/drawingml/2006/main" xmlns:r="http://schemas.openxmlformats.org/officeDocument/2006/relationships" cstate="print" r:embed="rId143"/>
        <a:stretch xmlns:a="http://schemas.openxmlformats.org/drawingml/2006/main">
          <a:fillRect/>
        </a:stretch>
      </blipFill>
      <spPr>
        <a:prstGeom xmlns:a="http://schemas.openxmlformats.org/drawingml/2006/main" prst="rect"/>
      </spPr>
    </pic>
    <clientData/>
  </oneCellAnchor>
  <oneCellAnchor>
    <from>
      <col>0</col>
      <colOff>0</colOff>
      <row>172</row>
      <rowOff>0</rowOff>
    </from>
    <ext cx="209550" cy="323850"/>
    <pic>
      <nvPicPr>
        <cNvPr id="144" name="Image 144" descr="Picture"/>
        <cNvPicPr/>
      </nvPicPr>
      <blipFill>
        <a:blip xmlns:a="http://schemas.openxmlformats.org/drawingml/2006/main" xmlns:r="http://schemas.openxmlformats.org/officeDocument/2006/relationships" cstate="print" r:embed="rId144"/>
        <a:stretch xmlns:a="http://schemas.openxmlformats.org/drawingml/2006/main">
          <a:fillRect/>
        </a:stretch>
      </blipFill>
      <spPr>
        <a:prstGeom xmlns:a="http://schemas.openxmlformats.org/drawingml/2006/main" prst="rect"/>
      </spPr>
    </pic>
    <clientData/>
  </oneCellAnchor>
  <oneCellAnchor>
    <from>
      <col>0</col>
      <colOff>0</colOff>
      <row>173</row>
      <rowOff>0</rowOff>
    </from>
    <ext cx="209550" cy="323850"/>
    <pic>
      <nvPicPr>
        <cNvPr id="145" name="Image 145" descr="Picture"/>
        <cNvPicPr/>
      </nvPicPr>
      <blipFill>
        <a:blip xmlns:a="http://schemas.openxmlformats.org/drawingml/2006/main" xmlns:r="http://schemas.openxmlformats.org/officeDocument/2006/relationships" cstate="print" r:embed="rId145"/>
        <a:stretch xmlns:a="http://schemas.openxmlformats.org/drawingml/2006/main">
          <a:fillRect/>
        </a:stretch>
      </blipFill>
      <spPr>
        <a:prstGeom xmlns:a="http://schemas.openxmlformats.org/drawingml/2006/main" prst="rect"/>
      </spPr>
    </pic>
    <clientData/>
  </oneCellAnchor>
  <oneCellAnchor>
    <from>
      <col>0</col>
      <colOff>0</colOff>
      <row>174</row>
      <rowOff>0</rowOff>
    </from>
    <ext cx="171450" cy="323850"/>
    <pic>
      <nvPicPr>
        <cNvPr id="146" name="Image 146" descr="Picture"/>
        <cNvPicPr/>
      </nvPicPr>
      <blipFill>
        <a:blip xmlns:a="http://schemas.openxmlformats.org/drawingml/2006/main" xmlns:r="http://schemas.openxmlformats.org/officeDocument/2006/relationships" cstate="print" r:embed="rId146"/>
        <a:stretch xmlns:a="http://schemas.openxmlformats.org/drawingml/2006/main">
          <a:fillRect/>
        </a:stretch>
      </blipFill>
      <spPr>
        <a:prstGeom xmlns:a="http://schemas.openxmlformats.org/drawingml/2006/main" prst="rect"/>
      </spPr>
    </pic>
    <clientData/>
  </oneCellAnchor>
  <oneCellAnchor>
    <from>
      <col>0</col>
      <colOff>0</colOff>
      <row>175</row>
      <rowOff>0</rowOff>
    </from>
    <ext cx="228600" cy="323850"/>
    <pic>
      <nvPicPr>
        <cNvPr id="147" name="Image 147" descr="Picture"/>
        <cNvPicPr/>
      </nvPicPr>
      <blipFill>
        <a:blip xmlns:a="http://schemas.openxmlformats.org/drawingml/2006/main" xmlns:r="http://schemas.openxmlformats.org/officeDocument/2006/relationships" cstate="print" r:embed="rId147"/>
        <a:stretch xmlns:a="http://schemas.openxmlformats.org/drawingml/2006/main">
          <a:fillRect/>
        </a:stretch>
      </blipFill>
      <spPr>
        <a:prstGeom xmlns:a="http://schemas.openxmlformats.org/drawingml/2006/main" prst="rect"/>
      </spPr>
    </pic>
    <clientData/>
  </oneCellAnchor>
  <oneCellAnchor>
    <from>
      <col>0</col>
      <colOff>0</colOff>
      <row>176</row>
      <rowOff>0</rowOff>
    </from>
    <ext cx="323850" cy="314325"/>
    <pic>
      <nvPicPr>
        <cNvPr id="148" name="Image 148" descr="Picture"/>
        <cNvPicPr/>
      </nvPicPr>
      <blipFill>
        <a:blip xmlns:a="http://schemas.openxmlformats.org/drawingml/2006/main" xmlns:r="http://schemas.openxmlformats.org/officeDocument/2006/relationships" cstate="print" r:embed="rId148"/>
        <a:stretch xmlns:a="http://schemas.openxmlformats.org/drawingml/2006/main">
          <a:fillRect/>
        </a:stretch>
      </blipFill>
      <spPr>
        <a:prstGeom xmlns:a="http://schemas.openxmlformats.org/drawingml/2006/main" prst="rect"/>
      </spPr>
    </pic>
    <clientData/>
  </oneCellAnchor>
  <oneCellAnchor>
    <from>
      <col>0</col>
      <colOff>0</colOff>
      <row>177</row>
      <rowOff>0</rowOff>
    </from>
    <ext cx="257175" cy="323850"/>
    <pic>
      <nvPicPr>
        <cNvPr id="149" name="Image 149" descr="Picture"/>
        <cNvPicPr/>
      </nvPicPr>
      <blipFill>
        <a:blip xmlns:a="http://schemas.openxmlformats.org/drawingml/2006/main" xmlns:r="http://schemas.openxmlformats.org/officeDocument/2006/relationships" cstate="print" r:embed="rId149"/>
        <a:stretch xmlns:a="http://schemas.openxmlformats.org/drawingml/2006/main">
          <a:fillRect/>
        </a:stretch>
      </blipFill>
      <spPr>
        <a:prstGeom xmlns:a="http://schemas.openxmlformats.org/drawingml/2006/main" prst="rect"/>
      </spPr>
    </pic>
    <clientData/>
  </oneCellAnchor>
  <oneCellAnchor>
    <from>
      <col>0</col>
      <colOff>0</colOff>
      <row>178</row>
      <rowOff>0</rowOff>
    </from>
    <ext cx="323850" cy="323850"/>
    <pic>
      <nvPicPr>
        <cNvPr id="150" name="Image 150" descr="Picture"/>
        <cNvPicPr/>
      </nvPicPr>
      <blipFill>
        <a:blip xmlns:a="http://schemas.openxmlformats.org/drawingml/2006/main" xmlns:r="http://schemas.openxmlformats.org/officeDocument/2006/relationships" cstate="print" r:embed="rId150"/>
        <a:stretch xmlns:a="http://schemas.openxmlformats.org/drawingml/2006/main">
          <a:fillRect/>
        </a:stretch>
      </blipFill>
      <spPr>
        <a:prstGeom xmlns:a="http://schemas.openxmlformats.org/drawingml/2006/main" prst="rect"/>
      </spPr>
    </pic>
    <clientData/>
  </oneCellAnchor>
  <oneCellAnchor>
    <from>
      <col>0</col>
      <colOff>0</colOff>
      <row>179</row>
      <rowOff>0</rowOff>
    </from>
    <ext cx="323850" cy="323850"/>
    <pic>
      <nvPicPr>
        <cNvPr id="151" name="Image 151" descr="Picture"/>
        <cNvPicPr/>
      </nvPicPr>
      <blipFill>
        <a:blip xmlns:a="http://schemas.openxmlformats.org/drawingml/2006/main" xmlns:r="http://schemas.openxmlformats.org/officeDocument/2006/relationships" cstate="print" r:embed="rId151"/>
        <a:stretch xmlns:a="http://schemas.openxmlformats.org/drawingml/2006/main">
          <a:fillRect/>
        </a:stretch>
      </blipFill>
      <spPr>
        <a:prstGeom xmlns:a="http://schemas.openxmlformats.org/drawingml/2006/main" prst="rect"/>
      </spPr>
    </pic>
    <clientData/>
  </oneCellAnchor>
  <oneCellAnchor>
    <from>
      <col>0</col>
      <colOff>0</colOff>
      <row>180</row>
      <rowOff>0</rowOff>
    </from>
    <ext cx="323850" cy="323850"/>
    <pic>
      <nvPicPr>
        <cNvPr id="152" name="Image 152" descr="Picture"/>
        <cNvPicPr/>
      </nvPicPr>
      <blipFill>
        <a:blip xmlns:a="http://schemas.openxmlformats.org/drawingml/2006/main" xmlns:r="http://schemas.openxmlformats.org/officeDocument/2006/relationships" cstate="print" r:embed="rId152"/>
        <a:stretch xmlns:a="http://schemas.openxmlformats.org/drawingml/2006/main">
          <a:fillRect/>
        </a:stretch>
      </blipFill>
      <spPr>
        <a:prstGeom xmlns:a="http://schemas.openxmlformats.org/drawingml/2006/main" prst="rect"/>
      </spPr>
    </pic>
    <clientData/>
  </oneCellAnchor>
  <oneCellAnchor>
    <from>
      <col>0</col>
      <colOff>0</colOff>
      <row>181</row>
      <rowOff>0</rowOff>
    </from>
    <ext cx="323850" cy="161925"/>
    <pic>
      <nvPicPr>
        <cNvPr id="153" name="Image 153" descr="Picture"/>
        <cNvPicPr/>
      </nvPicPr>
      <blipFill>
        <a:blip xmlns:a="http://schemas.openxmlformats.org/drawingml/2006/main" xmlns:r="http://schemas.openxmlformats.org/officeDocument/2006/relationships" cstate="print" r:embed="rId153"/>
        <a:stretch xmlns:a="http://schemas.openxmlformats.org/drawingml/2006/main">
          <a:fillRect/>
        </a:stretch>
      </blipFill>
      <spPr>
        <a:prstGeom xmlns:a="http://schemas.openxmlformats.org/drawingml/2006/main" prst="rect"/>
      </spPr>
    </pic>
    <clientData/>
  </oneCellAnchor>
  <oneCellAnchor>
    <from>
      <col>0</col>
      <colOff>0</colOff>
      <row>182</row>
      <rowOff>0</rowOff>
    </from>
    <ext cx="323850" cy="323850"/>
    <pic>
      <nvPicPr>
        <cNvPr id="154" name="Image 154" descr="Picture"/>
        <cNvPicPr/>
      </nvPicPr>
      <blipFill>
        <a:blip xmlns:a="http://schemas.openxmlformats.org/drawingml/2006/main" xmlns:r="http://schemas.openxmlformats.org/officeDocument/2006/relationships" cstate="print" r:embed="rId154"/>
        <a:stretch xmlns:a="http://schemas.openxmlformats.org/drawingml/2006/main">
          <a:fillRect/>
        </a:stretch>
      </blipFill>
      <spPr>
        <a:prstGeom xmlns:a="http://schemas.openxmlformats.org/drawingml/2006/main" prst="rect"/>
      </spPr>
    </pic>
    <clientData/>
  </oneCellAnchor>
  <oneCellAnchor>
    <from>
      <col>0</col>
      <colOff>0</colOff>
      <row>183</row>
      <rowOff>0</rowOff>
    </from>
    <ext cx="323850" cy="323850"/>
    <pic>
      <nvPicPr>
        <cNvPr id="155" name="Image 155" descr="Picture"/>
        <cNvPicPr/>
      </nvPicPr>
      <blipFill>
        <a:blip xmlns:a="http://schemas.openxmlformats.org/drawingml/2006/main" xmlns:r="http://schemas.openxmlformats.org/officeDocument/2006/relationships" cstate="print" r:embed="rId155"/>
        <a:stretch xmlns:a="http://schemas.openxmlformats.org/drawingml/2006/main">
          <a:fillRect/>
        </a:stretch>
      </blipFill>
      <spPr>
        <a:prstGeom xmlns:a="http://schemas.openxmlformats.org/drawingml/2006/main" prst="rect"/>
      </spPr>
    </pic>
    <clientData/>
  </oneCellAnchor>
  <oneCellAnchor>
    <from>
      <col>0</col>
      <colOff>0</colOff>
      <row>185</row>
      <rowOff>0</rowOff>
    </from>
    <ext cx="161925" cy="323850"/>
    <pic>
      <nvPicPr>
        <cNvPr id="156" name="Image 156" descr="Picture"/>
        <cNvPicPr/>
      </nvPicPr>
      <blipFill>
        <a:blip xmlns:a="http://schemas.openxmlformats.org/drawingml/2006/main" xmlns:r="http://schemas.openxmlformats.org/officeDocument/2006/relationships" cstate="print" r:embed="rId156"/>
        <a:stretch xmlns:a="http://schemas.openxmlformats.org/drawingml/2006/main">
          <a:fillRect/>
        </a:stretch>
      </blipFill>
      <spPr>
        <a:prstGeom xmlns:a="http://schemas.openxmlformats.org/drawingml/2006/main" prst="rect"/>
      </spPr>
    </pic>
    <clientData/>
  </oneCellAnchor>
  <oneCellAnchor>
    <from>
      <col>0</col>
      <colOff>0</colOff>
      <row>186</row>
      <rowOff>0</rowOff>
    </from>
    <ext cx="209550" cy="323850"/>
    <pic>
      <nvPicPr>
        <cNvPr id="157" name="Image 157" descr="Picture"/>
        <cNvPicPr/>
      </nvPicPr>
      <blipFill>
        <a:blip xmlns:a="http://schemas.openxmlformats.org/drawingml/2006/main" xmlns:r="http://schemas.openxmlformats.org/officeDocument/2006/relationships" cstate="print" r:embed="rId157"/>
        <a:stretch xmlns:a="http://schemas.openxmlformats.org/drawingml/2006/main">
          <a:fillRect/>
        </a:stretch>
      </blipFill>
      <spPr>
        <a:prstGeom xmlns:a="http://schemas.openxmlformats.org/drawingml/2006/main" prst="rect"/>
      </spPr>
    </pic>
    <clientData/>
  </oneCellAnchor>
  <oneCellAnchor>
    <from>
      <col>0</col>
      <colOff>0</colOff>
      <row>187</row>
      <rowOff>0</rowOff>
    </from>
    <ext cx="323850" cy="323850"/>
    <pic>
      <nvPicPr>
        <cNvPr id="158" name="Image 158" descr="Picture"/>
        <cNvPicPr/>
      </nvPicPr>
      <blipFill>
        <a:blip xmlns:a="http://schemas.openxmlformats.org/drawingml/2006/main" xmlns:r="http://schemas.openxmlformats.org/officeDocument/2006/relationships" cstate="print" r:embed="rId158"/>
        <a:stretch xmlns:a="http://schemas.openxmlformats.org/drawingml/2006/main">
          <a:fillRect/>
        </a:stretch>
      </blipFill>
      <spPr>
        <a:prstGeom xmlns:a="http://schemas.openxmlformats.org/drawingml/2006/main" prst="rect"/>
      </spPr>
    </pic>
    <clientData/>
  </oneCellAnchor>
  <oneCellAnchor>
    <from>
      <col>0</col>
      <colOff>0</colOff>
      <row>188</row>
      <rowOff>0</rowOff>
    </from>
    <ext cx="228600" cy="323850"/>
    <pic>
      <nvPicPr>
        <cNvPr id="159" name="Image 159" descr="Picture"/>
        <cNvPicPr/>
      </nvPicPr>
      <blipFill>
        <a:blip xmlns:a="http://schemas.openxmlformats.org/drawingml/2006/main" xmlns:r="http://schemas.openxmlformats.org/officeDocument/2006/relationships" cstate="print" r:embed="rId159"/>
        <a:stretch xmlns:a="http://schemas.openxmlformats.org/drawingml/2006/main">
          <a:fillRect/>
        </a:stretch>
      </blipFill>
      <spPr>
        <a:prstGeom xmlns:a="http://schemas.openxmlformats.org/drawingml/2006/main" prst="rect"/>
      </spPr>
    </pic>
    <clientData/>
  </oneCellAnchor>
  <oneCellAnchor>
    <from>
      <col>0</col>
      <colOff>0</colOff>
      <row>189</row>
      <rowOff>0</rowOff>
    </from>
    <ext cx="323850" cy="314325"/>
    <pic>
      <nvPicPr>
        <cNvPr id="160" name="Image 160" descr="Picture"/>
        <cNvPicPr/>
      </nvPicPr>
      <blipFill>
        <a:blip xmlns:a="http://schemas.openxmlformats.org/drawingml/2006/main" xmlns:r="http://schemas.openxmlformats.org/officeDocument/2006/relationships" cstate="print" r:embed="rId160"/>
        <a:stretch xmlns:a="http://schemas.openxmlformats.org/drawingml/2006/main">
          <a:fillRect/>
        </a:stretch>
      </blipFill>
      <spPr>
        <a:prstGeom xmlns:a="http://schemas.openxmlformats.org/drawingml/2006/main" prst="rect"/>
      </spPr>
    </pic>
    <clientData/>
  </oneCellAnchor>
  <oneCellAnchor>
    <from>
      <col>0</col>
      <colOff>0</colOff>
      <row>190</row>
      <rowOff>0</rowOff>
    </from>
    <ext cx="314325" cy="323850"/>
    <pic>
      <nvPicPr>
        <cNvPr id="161" name="Image 161" descr="Picture"/>
        <cNvPicPr/>
      </nvPicPr>
      <blipFill>
        <a:blip xmlns:a="http://schemas.openxmlformats.org/drawingml/2006/main" xmlns:r="http://schemas.openxmlformats.org/officeDocument/2006/relationships" cstate="print" r:embed="rId161"/>
        <a:stretch xmlns:a="http://schemas.openxmlformats.org/drawingml/2006/main">
          <a:fillRect/>
        </a:stretch>
      </blipFill>
      <spPr>
        <a:prstGeom xmlns:a="http://schemas.openxmlformats.org/drawingml/2006/main" prst="rect"/>
      </spPr>
    </pic>
    <clientData/>
  </oneCellAnchor>
  <oneCellAnchor>
    <from>
      <col>0</col>
      <colOff>0</colOff>
      <row>191</row>
      <rowOff>0</rowOff>
    </from>
    <ext cx="323850" cy="323850"/>
    <pic>
      <nvPicPr>
        <cNvPr id="162" name="Image 162" descr="Picture"/>
        <cNvPicPr/>
      </nvPicPr>
      <blipFill>
        <a:blip xmlns:a="http://schemas.openxmlformats.org/drawingml/2006/main" xmlns:r="http://schemas.openxmlformats.org/officeDocument/2006/relationships" cstate="print" r:embed="rId162"/>
        <a:stretch xmlns:a="http://schemas.openxmlformats.org/drawingml/2006/main">
          <a:fillRect/>
        </a:stretch>
      </blipFill>
      <spPr>
        <a:prstGeom xmlns:a="http://schemas.openxmlformats.org/drawingml/2006/main" prst="rect"/>
      </spPr>
    </pic>
    <clientData/>
  </oneCellAnchor>
  <oneCellAnchor>
    <from>
      <col>0</col>
      <colOff>0</colOff>
      <row>192</row>
      <rowOff>0</rowOff>
    </from>
    <ext cx="323850" cy="323850"/>
    <pic>
      <nvPicPr>
        <cNvPr id="163" name="Image 163" descr="Picture"/>
        <cNvPicPr/>
      </nvPicPr>
      <blipFill>
        <a:blip xmlns:a="http://schemas.openxmlformats.org/drawingml/2006/main" xmlns:r="http://schemas.openxmlformats.org/officeDocument/2006/relationships" cstate="print" r:embed="rId163"/>
        <a:stretch xmlns:a="http://schemas.openxmlformats.org/drawingml/2006/main">
          <a:fillRect/>
        </a:stretch>
      </blipFill>
      <spPr>
        <a:prstGeom xmlns:a="http://schemas.openxmlformats.org/drawingml/2006/main" prst="rect"/>
      </spPr>
    </pic>
    <clientData/>
  </oneCellAnchor>
  <oneCellAnchor>
    <from>
      <col>0</col>
      <colOff>0</colOff>
      <row>193</row>
      <rowOff>0</rowOff>
    </from>
    <ext cx="323850" cy="323850"/>
    <pic>
      <nvPicPr>
        <cNvPr id="164" name="Image 164" descr="Picture"/>
        <cNvPicPr/>
      </nvPicPr>
      <blipFill>
        <a:blip xmlns:a="http://schemas.openxmlformats.org/drawingml/2006/main" xmlns:r="http://schemas.openxmlformats.org/officeDocument/2006/relationships" cstate="print" r:embed="rId164"/>
        <a:stretch xmlns:a="http://schemas.openxmlformats.org/drawingml/2006/main">
          <a:fillRect/>
        </a:stretch>
      </blipFill>
      <spPr>
        <a:prstGeom xmlns:a="http://schemas.openxmlformats.org/drawingml/2006/main" prst="rect"/>
      </spPr>
    </pic>
    <clientData/>
  </oneCellAnchor>
  <oneCellAnchor>
    <from>
      <col>0</col>
      <colOff>0</colOff>
      <row>194</row>
      <rowOff>0</rowOff>
    </from>
    <ext cx="323850" cy="161925"/>
    <pic>
      <nvPicPr>
        <cNvPr id="165" name="Image 165" descr="Picture"/>
        <cNvPicPr/>
      </nvPicPr>
      <blipFill>
        <a:blip xmlns:a="http://schemas.openxmlformats.org/drawingml/2006/main" xmlns:r="http://schemas.openxmlformats.org/officeDocument/2006/relationships" cstate="print" r:embed="rId165"/>
        <a:stretch xmlns:a="http://schemas.openxmlformats.org/drawingml/2006/main">
          <a:fillRect/>
        </a:stretch>
      </blipFill>
      <spPr>
        <a:prstGeom xmlns:a="http://schemas.openxmlformats.org/drawingml/2006/main" prst="rect"/>
      </spPr>
    </pic>
    <clientData/>
  </oneCellAnchor>
  <oneCellAnchor>
    <from>
      <col>0</col>
      <colOff>0</colOff>
      <row>195</row>
      <rowOff>0</rowOff>
    </from>
    <ext cx="323850" cy="323850"/>
    <pic>
      <nvPicPr>
        <cNvPr id="166" name="Image 166" descr="Picture"/>
        <cNvPicPr/>
      </nvPicPr>
      <blipFill>
        <a:blip xmlns:a="http://schemas.openxmlformats.org/drawingml/2006/main" xmlns:r="http://schemas.openxmlformats.org/officeDocument/2006/relationships" cstate="print" r:embed="rId166"/>
        <a:stretch xmlns:a="http://schemas.openxmlformats.org/drawingml/2006/main">
          <a:fillRect/>
        </a:stretch>
      </blipFill>
      <spPr>
        <a:prstGeom xmlns:a="http://schemas.openxmlformats.org/drawingml/2006/main" prst="rect"/>
      </spPr>
    </pic>
    <clientData/>
  </oneCellAnchor>
  <oneCellAnchor>
    <from>
      <col>0</col>
      <colOff>0</colOff>
      <row>196</row>
      <rowOff>0</rowOff>
    </from>
    <ext cx="323850" cy="323850"/>
    <pic>
      <nvPicPr>
        <cNvPr id="167" name="Image 167" descr="Picture"/>
        <cNvPicPr/>
      </nvPicPr>
      <blipFill>
        <a:blip xmlns:a="http://schemas.openxmlformats.org/drawingml/2006/main" xmlns:r="http://schemas.openxmlformats.org/officeDocument/2006/relationships" cstate="print" r:embed="rId167"/>
        <a:stretch xmlns:a="http://schemas.openxmlformats.org/drawingml/2006/main">
          <a:fillRect/>
        </a:stretch>
      </blipFill>
      <spPr>
        <a:prstGeom xmlns:a="http://schemas.openxmlformats.org/drawingml/2006/main" prst="rect"/>
      </spPr>
    </pic>
    <clientData/>
  </oneCellAnchor>
  <oneCellAnchor>
    <from>
      <col>0</col>
      <colOff>0</colOff>
      <row>200</row>
      <rowOff>0</rowOff>
    </from>
    <ext cx="247650" cy="247650"/>
    <pic>
      <nvPicPr>
        <cNvPr id="168" name="Image 168" descr="Picture"/>
        <cNvPicPr/>
      </nvPicPr>
      <blipFill>
        <a:blip xmlns:a="http://schemas.openxmlformats.org/drawingml/2006/main" xmlns:r="http://schemas.openxmlformats.org/officeDocument/2006/relationships" cstate="print" r:embed="rId168"/>
        <a:stretch xmlns:a="http://schemas.openxmlformats.org/drawingml/2006/main">
          <a:fillRect/>
        </a:stretch>
      </blipFill>
      <spPr>
        <a:prstGeom xmlns:a="http://schemas.openxmlformats.org/drawingml/2006/main" prst="rect"/>
      </spPr>
    </pic>
    <clientData/>
  </oneCellAnchor>
  <oneCellAnchor>
    <from>
      <col>0</col>
      <colOff>0</colOff>
      <row>201</row>
      <rowOff>0</rowOff>
    </from>
    <ext cx="247650" cy="247650"/>
    <pic>
      <nvPicPr>
        <cNvPr id="169" name="Image 169" descr="Picture"/>
        <cNvPicPr/>
      </nvPicPr>
      <blipFill>
        <a:blip xmlns:a="http://schemas.openxmlformats.org/drawingml/2006/main" xmlns:r="http://schemas.openxmlformats.org/officeDocument/2006/relationships" cstate="print" r:embed="rId169"/>
        <a:stretch xmlns:a="http://schemas.openxmlformats.org/drawingml/2006/main">
          <a:fillRect/>
        </a:stretch>
      </blipFill>
      <spPr>
        <a:prstGeom xmlns:a="http://schemas.openxmlformats.org/drawingml/2006/main" prst="rect"/>
      </spPr>
    </pic>
    <clientData/>
  </oneCellAnchor>
  <oneCellAnchor>
    <from>
      <col>0</col>
      <colOff>0</colOff>
      <row>202</row>
      <rowOff>0</rowOff>
    </from>
    <ext cx="247650" cy="247650"/>
    <pic>
      <nvPicPr>
        <cNvPr id="170" name="Image 170" descr="Picture"/>
        <cNvPicPr/>
      </nvPicPr>
      <blipFill>
        <a:blip xmlns:a="http://schemas.openxmlformats.org/drawingml/2006/main" xmlns:r="http://schemas.openxmlformats.org/officeDocument/2006/relationships" cstate="print" r:embed="rId170"/>
        <a:stretch xmlns:a="http://schemas.openxmlformats.org/drawingml/2006/main">
          <a:fillRect/>
        </a:stretch>
      </blipFill>
      <spPr>
        <a:prstGeom xmlns:a="http://schemas.openxmlformats.org/drawingml/2006/main" prst="rect"/>
      </spPr>
    </pic>
    <clientData/>
  </oneCellAnchor>
  <oneCellAnchor>
    <from>
      <col>0</col>
      <colOff>0</colOff>
      <row>203</row>
      <rowOff>0</rowOff>
    </from>
    <ext cx="247650" cy="247650"/>
    <pic>
      <nvPicPr>
        <cNvPr id="171" name="Image 171" descr="Picture"/>
        <cNvPicPr/>
      </nvPicPr>
      <blipFill>
        <a:blip xmlns:a="http://schemas.openxmlformats.org/drawingml/2006/main" xmlns:r="http://schemas.openxmlformats.org/officeDocument/2006/relationships" cstate="print" r:embed="rId171"/>
        <a:stretch xmlns:a="http://schemas.openxmlformats.org/drawingml/2006/main">
          <a:fillRect/>
        </a:stretch>
      </blipFill>
      <spPr>
        <a:prstGeom xmlns:a="http://schemas.openxmlformats.org/drawingml/2006/main" prst="rect"/>
      </spPr>
    </pic>
    <clientData/>
  </oneCellAnchor>
  <oneCellAnchor>
    <from>
      <col>0</col>
      <colOff>0</colOff>
      <row>204</row>
      <rowOff>0</rowOff>
    </from>
    <ext cx="247650" cy="247650"/>
    <pic>
      <nvPicPr>
        <cNvPr id="172" name="Image 172" descr="Picture"/>
        <cNvPicPr/>
      </nvPicPr>
      <blipFill>
        <a:blip xmlns:a="http://schemas.openxmlformats.org/drawingml/2006/main" xmlns:r="http://schemas.openxmlformats.org/officeDocument/2006/relationships" cstate="print" r:embed="rId172"/>
        <a:stretch xmlns:a="http://schemas.openxmlformats.org/drawingml/2006/main">
          <a:fillRect/>
        </a:stretch>
      </blipFill>
      <spPr>
        <a:prstGeom xmlns:a="http://schemas.openxmlformats.org/drawingml/2006/main" prst="rect"/>
      </spPr>
    </pic>
    <clientData/>
  </oneCellAnchor>
  <oneCellAnchor>
    <from>
      <col>0</col>
      <colOff>0</colOff>
      <row>205</row>
      <rowOff>0</rowOff>
    </from>
    <ext cx="247650" cy="247650"/>
    <pic>
      <nvPicPr>
        <cNvPr id="173" name="Image 173" descr="Picture"/>
        <cNvPicPr/>
      </nvPicPr>
      <blipFill>
        <a:blip xmlns:a="http://schemas.openxmlformats.org/drawingml/2006/main" xmlns:r="http://schemas.openxmlformats.org/officeDocument/2006/relationships" cstate="print" r:embed="rId173"/>
        <a:stretch xmlns:a="http://schemas.openxmlformats.org/drawingml/2006/main">
          <a:fillRect/>
        </a:stretch>
      </blipFill>
      <spPr>
        <a:prstGeom xmlns:a="http://schemas.openxmlformats.org/drawingml/2006/main" prst="rect"/>
      </spPr>
    </pic>
    <clientData/>
  </oneCellAnchor>
  <oneCellAnchor>
    <from>
      <col>0</col>
      <colOff>0</colOff>
      <row>206</row>
      <rowOff>0</rowOff>
    </from>
    <ext cx="247650" cy="247650"/>
    <pic>
      <nvPicPr>
        <cNvPr id="174" name="Image 174" descr="Picture"/>
        <cNvPicPr/>
      </nvPicPr>
      <blipFill>
        <a:blip xmlns:a="http://schemas.openxmlformats.org/drawingml/2006/main" xmlns:r="http://schemas.openxmlformats.org/officeDocument/2006/relationships" cstate="print" r:embed="rId174"/>
        <a:stretch xmlns:a="http://schemas.openxmlformats.org/drawingml/2006/main">
          <a:fillRect/>
        </a:stretch>
      </blipFill>
      <spPr>
        <a:prstGeom xmlns:a="http://schemas.openxmlformats.org/drawingml/2006/main" prst="rect"/>
      </spPr>
    </pic>
    <clientData/>
  </oneCellAnchor>
  <oneCellAnchor>
    <from>
      <col>0</col>
      <colOff>0</colOff>
      <row>207</row>
      <rowOff>0</rowOff>
    </from>
    <ext cx="247650" cy="247650"/>
    <pic>
      <nvPicPr>
        <cNvPr id="175" name="Image 175" descr="Picture"/>
        <cNvPicPr/>
      </nvPicPr>
      <blipFill>
        <a:blip xmlns:a="http://schemas.openxmlformats.org/drawingml/2006/main" xmlns:r="http://schemas.openxmlformats.org/officeDocument/2006/relationships" cstate="print" r:embed="rId175"/>
        <a:stretch xmlns:a="http://schemas.openxmlformats.org/drawingml/2006/main">
          <a:fillRect/>
        </a:stretch>
      </blipFill>
      <spPr>
        <a:prstGeom xmlns:a="http://schemas.openxmlformats.org/drawingml/2006/main" prst="rect"/>
      </spPr>
    </pic>
    <clientData/>
  </oneCellAnchor>
  <oneCellAnchor>
    <from>
      <col>0</col>
      <colOff>0</colOff>
      <row>208</row>
      <rowOff>0</rowOff>
    </from>
    <ext cx="247650" cy="247650"/>
    <pic>
      <nvPicPr>
        <cNvPr id="176" name="Image 176" descr="Picture"/>
        <cNvPicPr/>
      </nvPicPr>
      <blipFill>
        <a:blip xmlns:a="http://schemas.openxmlformats.org/drawingml/2006/main" xmlns:r="http://schemas.openxmlformats.org/officeDocument/2006/relationships" cstate="print" r:embed="rId176"/>
        <a:stretch xmlns:a="http://schemas.openxmlformats.org/drawingml/2006/main">
          <a:fillRect/>
        </a:stretch>
      </blipFill>
      <spPr>
        <a:prstGeom xmlns:a="http://schemas.openxmlformats.org/drawingml/2006/main" prst="rect"/>
      </spPr>
    </pic>
    <clientData/>
  </oneCellAnchor>
  <oneCellAnchor>
    <from>
      <col>0</col>
      <colOff>0</colOff>
      <row>209</row>
      <rowOff>0</rowOff>
    </from>
    <ext cx="247650" cy="247650"/>
    <pic>
      <nvPicPr>
        <cNvPr id="177" name="Image 177" descr="Picture"/>
        <cNvPicPr/>
      </nvPicPr>
      <blipFill>
        <a:blip xmlns:a="http://schemas.openxmlformats.org/drawingml/2006/main" xmlns:r="http://schemas.openxmlformats.org/officeDocument/2006/relationships" cstate="print" r:embed="rId177"/>
        <a:stretch xmlns:a="http://schemas.openxmlformats.org/drawingml/2006/main">
          <a:fillRect/>
        </a:stretch>
      </blipFill>
      <spPr>
        <a:prstGeom xmlns:a="http://schemas.openxmlformats.org/drawingml/2006/main" prst="rect"/>
      </spPr>
    </pic>
    <clientData/>
  </oneCellAnchor>
  <oneCellAnchor>
    <from>
      <col>0</col>
      <colOff>0</colOff>
      <row>210</row>
      <rowOff>0</rowOff>
    </from>
    <ext cx="247650" cy="247650"/>
    <pic>
      <nvPicPr>
        <cNvPr id="178" name="Image 178" descr="Picture"/>
        <cNvPicPr/>
      </nvPicPr>
      <blipFill>
        <a:blip xmlns:a="http://schemas.openxmlformats.org/drawingml/2006/main" xmlns:r="http://schemas.openxmlformats.org/officeDocument/2006/relationships" cstate="print" r:embed="rId178"/>
        <a:stretch xmlns:a="http://schemas.openxmlformats.org/drawingml/2006/main">
          <a:fillRect/>
        </a:stretch>
      </blipFill>
      <spPr>
        <a:prstGeom xmlns:a="http://schemas.openxmlformats.org/drawingml/2006/main" prst="rect"/>
      </spPr>
    </pic>
    <clientData/>
  </oneCellAnchor>
  <oneCellAnchor>
    <from>
      <col>0</col>
      <colOff>0</colOff>
      <row>211</row>
      <rowOff>0</rowOff>
    </from>
    <ext cx="247650" cy="247650"/>
    <pic>
      <nvPicPr>
        <cNvPr id="179" name="Image 179" descr="Picture"/>
        <cNvPicPr/>
      </nvPicPr>
      <blipFill>
        <a:blip xmlns:a="http://schemas.openxmlformats.org/drawingml/2006/main" xmlns:r="http://schemas.openxmlformats.org/officeDocument/2006/relationships" cstate="print" r:embed="rId179"/>
        <a:stretch xmlns:a="http://schemas.openxmlformats.org/drawingml/2006/main">
          <a:fillRect/>
        </a:stretch>
      </blipFill>
      <spPr>
        <a:prstGeom xmlns:a="http://schemas.openxmlformats.org/drawingml/2006/main" prst="rect"/>
      </spPr>
    </pic>
    <clientData/>
  </oneCellAnchor>
  <oneCellAnchor>
    <from>
      <col>0</col>
      <colOff>0</colOff>
      <row>212</row>
      <rowOff>0</rowOff>
    </from>
    <ext cx="247650" cy="247650"/>
    <pic>
      <nvPicPr>
        <cNvPr id="180" name="Image 180" descr="Picture"/>
        <cNvPicPr/>
      </nvPicPr>
      <blipFill>
        <a:blip xmlns:a="http://schemas.openxmlformats.org/drawingml/2006/main" xmlns:r="http://schemas.openxmlformats.org/officeDocument/2006/relationships" cstate="print" r:embed="rId180"/>
        <a:stretch xmlns:a="http://schemas.openxmlformats.org/drawingml/2006/main">
          <a:fillRect/>
        </a:stretch>
      </blipFill>
      <spPr>
        <a:prstGeom xmlns:a="http://schemas.openxmlformats.org/drawingml/2006/main" prst="rect"/>
      </spPr>
    </pic>
    <clientData/>
  </oneCellAnchor>
  <oneCellAnchor>
    <from>
      <col>0</col>
      <colOff>0</colOff>
      <row>213</row>
      <rowOff>0</rowOff>
    </from>
    <ext cx="247650" cy="247650"/>
    <pic>
      <nvPicPr>
        <cNvPr id="181" name="Image 181" descr="Picture"/>
        <cNvPicPr/>
      </nvPicPr>
      <blipFill>
        <a:blip xmlns:a="http://schemas.openxmlformats.org/drawingml/2006/main" xmlns:r="http://schemas.openxmlformats.org/officeDocument/2006/relationships" cstate="print" r:embed="rId181"/>
        <a:stretch xmlns:a="http://schemas.openxmlformats.org/drawingml/2006/main">
          <a:fillRect/>
        </a:stretch>
      </blipFill>
      <spPr>
        <a:prstGeom xmlns:a="http://schemas.openxmlformats.org/drawingml/2006/main" prst="rect"/>
      </spPr>
    </pic>
    <clientData/>
  </oneCellAnchor>
  <oneCellAnchor>
    <from>
      <col>0</col>
      <colOff>0</colOff>
      <row>214</row>
      <rowOff>0</rowOff>
    </from>
    <ext cx="247650" cy="247650"/>
    <pic>
      <nvPicPr>
        <cNvPr id="182" name="Image 182" descr="Picture"/>
        <cNvPicPr/>
      </nvPicPr>
      <blipFill>
        <a:blip xmlns:a="http://schemas.openxmlformats.org/drawingml/2006/main" xmlns:r="http://schemas.openxmlformats.org/officeDocument/2006/relationships" cstate="print" r:embed="rId182"/>
        <a:stretch xmlns:a="http://schemas.openxmlformats.org/drawingml/2006/main">
          <a:fillRect/>
        </a:stretch>
      </blipFill>
      <spPr>
        <a:prstGeom xmlns:a="http://schemas.openxmlformats.org/drawingml/2006/main" prst="rect"/>
      </spPr>
    </pic>
    <clientData/>
  </oneCellAnchor>
  <oneCellAnchor>
    <from>
      <col>0</col>
      <colOff>0</colOff>
      <row>215</row>
      <rowOff>0</rowOff>
    </from>
    <ext cx="247650" cy="247650"/>
    <pic>
      <nvPicPr>
        <cNvPr id="183" name="Image 183" descr="Picture"/>
        <cNvPicPr/>
      </nvPicPr>
      <blipFill>
        <a:blip xmlns:a="http://schemas.openxmlformats.org/drawingml/2006/main" xmlns:r="http://schemas.openxmlformats.org/officeDocument/2006/relationships" cstate="print" r:embed="rId183"/>
        <a:stretch xmlns:a="http://schemas.openxmlformats.org/drawingml/2006/main">
          <a:fillRect/>
        </a:stretch>
      </blipFill>
      <spPr>
        <a:prstGeom xmlns:a="http://schemas.openxmlformats.org/drawingml/2006/main" prst="rect"/>
      </spPr>
    </pic>
    <clientData/>
  </oneCellAnchor>
  <oneCellAnchor>
    <from>
      <col>0</col>
      <colOff>0</colOff>
      <row>216</row>
      <rowOff>0</rowOff>
    </from>
    <ext cx="247650" cy="247650"/>
    <pic>
      <nvPicPr>
        <cNvPr id="184" name="Image 184" descr="Picture"/>
        <cNvPicPr/>
      </nvPicPr>
      <blipFill>
        <a:blip xmlns:a="http://schemas.openxmlformats.org/drawingml/2006/main" xmlns:r="http://schemas.openxmlformats.org/officeDocument/2006/relationships" cstate="print" r:embed="rId184"/>
        <a:stretch xmlns:a="http://schemas.openxmlformats.org/drawingml/2006/main">
          <a:fillRect/>
        </a:stretch>
      </blipFill>
      <spPr>
        <a:prstGeom xmlns:a="http://schemas.openxmlformats.org/drawingml/2006/main" prst="rect"/>
      </spPr>
    </pic>
    <clientData/>
  </oneCellAnchor>
  <oneCellAnchor>
    <from>
      <col>0</col>
      <colOff>0</colOff>
      <row>217</row>
      <rowOff>0</rowOff>
    </from>
    <ext cx="247650" cy="247650"/>
    <pic>
      <nvPicPr>
        <cNvPr id="185" name="Image 185" descr="Picture"/>
        <cNvPicPr/>
      </nvPicPr>
      <blipFill>
        <a:blip xmlns:a="http://schemas.openxmlformats.org/drawingml/2006/main" xmlns:r="http://schemas.openxmlformats.org/officeDocument/2006/relationships" cstate="print" r:embed="rId185"/>
        <a:stretch xmlns:a="http://schemas.openxmlformats.org/drawingml/2006/main">
          <a:fillRect/>
        </a:stretch>
      </blipFill>
      <spPr>
        <a:prstGeom xmlns:a="http://schemas.openxmlformats.org/drawingml/2006/main" prst="rect"/>
      </spPr>
    </pic>
    <clientData/>
  </oneCellAnchor>
  <oneCellAnchor>
    <from>
      <col>0</col>
      <colOff>0</colOff>
      <row>219</row>
      <rowOff>0</rowOff>
    </from>
    <ext cx="161925" cy="323850"/>
    <pic>
      <nvPicPr>
        <cNvPr id="186" name="Image 186" descr="Picture"/>
        <cNvPicPr/>
      </nvPicPr>
      <blipFill>
        <a:blip xmlns:a="http://schemas.openxmlformats.org/drawingml/2006/main" xmlns:r="http://schemas.openxmlformats.org/officeDocument/2006/relationships" cstate="print" r:embed="rId186"/>
        <a:stretch xmlns:a="http://schemas.openxmlformats.org/drawingml/2006/main">
          <a:fillRect/>
        </a:stretch>
      </blipFill>
      <spPr>
        <a:prstGeom xmlns:a="http://schemas.openxmlformats.org/drawingml/2006/main" prst="rect"/>
      </spPr>
    </pic>
    <clientData/>
  </oneCellAnchor>
  <oneCellAnchor>
    <from>
      <col>0</col>
      <colOff>0</colOff>
      <row>220</row>
      <rowOff>0</rowOff>
    </from>
    <ext cx="219075" cy="323850"/>
    <pic>
      <nvPicPr>
        <cNvPr id="187" name="Image 187" descr="Picture"/>
        <cNvPicPr/>
      </nvPicPr>
      <blipFill>
        <a:blip xmlns:a="http://schemas.openxmlformats.org/drawingml/2006/main" xmlns:r="http://schemas.openxmlformats.org/officeDocument/2006/relationships" cstate="print" r:embed="rId187"/>
        <a:stretch xmlns:a="http://schemas.openxmlformats.org/drawingml/2006/main">
          <a:fillRect/>
        </a:stretch>
      </blipFill>
      <spPr>
        <a:prstGeom xmlns:a="http://schemas.openxmlformats.org/drawingml/2006/main" prst="rect"/>
      </spPr>
    </pic>
    <clientData/>
  </oneCellAnchor>
  <oneCellAnchor>
    <from>
      <col>0</col>
      <colOff>0</colOff>
      <row>221</row>
      <rowOff>0</rowOff>
    </from>
    <ext cx="323850" cy="323850"/>
    <pic>
      <nvPicPr>
        <cNvPr id="188" name="Image 188" descr="Picture"/>
        <cNvPicPr/>
      </nvPicPr>
      <blipFill>
        <a:blip xmlns:a="http://schemas.openxmlformats.org/drawingml/2006/main" xmlns:r="http://schemas.openxmlformats.org/officeDocument/2006/relationships" cstate="print" r:embed="rId188"/>
        <a:stretch xmlns:a="http://schemas.openxmlformats.org/drawingml/2006/main">
          <a:fillRect/>
        </a:stretch>
      </blipFill>
      <spPr>
        <a:prstGeom xmlns:a="http://schemas.openxmlformats.org/drawingml/2006/main" prst="rect"/>
      </spPr>
    </pic>
    <clientData/>
  </oneCellAnchor>
  <oneCellAnchor>
    <from>
      <col>0</col>
      <colOff>0</colOff>
      <row>222</row>
      <rowOff>0</rowOff>
    </from>
    <ext cx="238125" cy="323850"/>
    <pic>
      <nvPicPr>
        <cNvPr id="189" name="Image 189" descr="Picture"/>
        <cNvPicPr/>
      </nvPicPr>
      <blipFill>
        <a:blip xmlns:a="http://schemas.openxmlformats.org/drawingml/2006/main" xmlns:r="http://schemas.openxmlformats.org/officeDocument/2006/relationships" cstate="print" r:embed="rId189"/>
        <a:stretch xmlns:a="http://schemas.openxmlformats.org/drawingml/2006/main">
          <a:fillRect/>
        </a:stretch>
      </blipFill>
      <spPr>
        <a:prstGeom xmlns:a="http://schemas.openxmlformats.org/drawingml/2006/main" prst="rect"/>
      </spPr>
    </pic>
    <clientData/>
  </oneCellAnchor>
  <oneCellAnchor>
    <from>
      <col>0</col>
      <colOff>0</colOff>
      <row>223</row>
      <rowOff>0</rowOff>
    </from>
    <ext cx="180975" cy="323850"/>
    <pic>
      <nvPicPr>
        <cNvPr id="190" name="Image 190" descr="Picture"/>
        <cNvPicPr/>
      </nvPicPr>
      <blipFill>
        <a:blip xmlns:a="http://schemas.openxmlformats.org/drawingml/2006/main" xmlns:r="http://schemas.openxmlformats.org/officeDocument/2006/relationships" cstate="print" r:embed="rId190"/>
        <a:stretch xmlns:a="http://schemas.openxmlformats.org/drawingml/2006/main">
          <a:fillRect/>
        </a:stretch>
      </blipFill>
      <spPr>
        <a:prstGeom xmlns:a="http://schemas.openxmlformats.org/drawingml/2006/main" prst="rect"/>
      </spPr>
    </pic>
    <clientData/>
  </oneCellAnchor>
  <oneCellAnchor>
    <from>
      <col>0</col>
      <colOff>0</colOff>
      <row>224</row>
      <rowOff>0</rowOff>
    </from>
    <ext cx="323850" cy="323850"/>
    <pic>
      <nvPicPr>
        <cNvPr id="191" name="Image 191" descr="Picture"/>
        <cNvPicPr/>
      </nvPicPr>
      <blipFill>
        <a:blip xmlns:a="http://schemas.openxmlformats.org/drawingml/2006/main" xmlns:r="http://schemas.openxmlformats.org/officeDocument/2006/relationships" cstate="print" r:embed="rId191"/>
        <a:stretch xmlns:a="http://schemas.openxmlformats.org/drawingml/2006/main">
          <a:fillRect/>
        </a:stretch>
      </blipFill>
      <spPr>
        <a:prstGeom xmlns:a="http://schemas.openxmlformats.org/drawingml/2006/main" prst="rect"/>
      </spPr>
    </pic>
    <clientData/>
  </oneCellAnchor>
  <oneCellAnchor>
    <from>
      <col>0</col>
      <colOff>0</colOff>
      <row>225</row>
      <rowOff>0</rowOff>
    </from>
    <ext cx="314325" cy="323850"/>
    <pic>
      <nvPicPr>
        <cNvPr id="192" name="Image 192" descr="Picture"/>
        <cNvPicPr/>
      </nvPicPr>
      <blipFill>
        <a:blip xmlns:a="http://schemas.openxmlformats.org/drawingml/2006/main" xmlns:r="http://schemas.openxmlformats.org/officeDocument/2006/relationships" cstate="print" r:embed="rId192"/>
        <a:stretch xmlns:a="http://schemas.openxmlformats.org/drawingml/2006/main">
          <a:fillRect/>
        </a:stretch>
      </blipFill>
      <spPr>
        <a:prstGeom xmlns:a="http://schemas.openxmlformats.org/drawingml/2006/main" prst="rect"/>
      </spPr>
    </pic>
    <clientData/>
  </oneCellAnchor>
  <oneCellAnchor>
    <from>
      <col>0</col>
      <colOff>0</colOff>
      <row>226</row>
      <rowOff>0</rowOff>
    </from>
    <ext cx="314325" cy="323850"/>
    <pic>
      <nvPicPr>
        <cNvPr id="193" name="Image 193" descr="Picture"/>
        <cNvPicPr/>
      </nvPicPr>
      <blipFill>
        <a:blip xmlns:a="http://schemas.openxmlformats.org/drawingml/2006/main" xmlns:r="http://schemas.openxmlformats.org/officeDocument/2006/relationships" cstate="print" r:embed="rId193"/>
        <a:stretch xmlns:a="http://schemas.openxmlformats.org/drawingml/2006/main">
          <a:fillRect/>
        </a:stretch>
      </blipFill>
      <spPr>
        <a:prstGeom xmlns:a="http://schemas.openxmlformats.org/drawingml/2006/main" prst="rect"/>
      </spPr>
    </pic>
    <clientData/>
  </oneCellAnchor>
  <oneCellAnchor>
    <from>
      <col>0</col>
      <colOff>0</colOff>
      <row>227</row>
      <rowOff>0</rowOff>
    </from>
    <ext cx="323850" cy="323850"/>
    <pic>
      <nvPicPr>
        <cNvPr id="194" name="Image 194" descr="Picture"/>
        <cNvPicPr/>
      </nvPicPr>
      <blipFill>
        <a:blip xmlns:a="http://schemas.openxmlformats.org/drawingml/2006/main" xmlns:r="http://schemas.openxmlformats.org/officeDocument/2006/relationships" cstate="print" r:embed="rId194"/>
        <a:stretch xmlns:a="http://schemas.openxmlformats.org/drawingml/2006/main">
          <a:fillRect/>
        </a:stretch>
      </blipFill>
      <spPr>
        <a:prstGeom xmlns:a="http://schemas.openxmlformats.org/drawingml/2006/main" prst="rect"/>
      </spPr>
    </pic>
    <clientData/>
  </oneCellAnchor>
  <oneCellAnchor>
    <from>
      <col>0</col>
      <colOff>0</colOff>
      <row>228</row>
      <rowOff>0</rowOff>
    </from>
    <ext cx="323850" cy="323850"/>
    <pic>
      <nvPicPr>
        <cNvPr id="195" name="Image 195" descr="Picture"/>
        <cNvPicPr/>
      </nvPicPr>
      <blipFill>
        <a:blip xmlns:a="http://schemas.openxmlformats.org/drawingml/2006/main" xmlns:r="http://schemas.openxmlformats.org/officeDocument/2006/relationships" cstate="print" r:embed="rId195"/>
        <a:stretch xmlns:a="http://schemas.openxmlformats.org/drawingml/2006/main">
          <a:fillRect/>
        </a:stretch>
      </blipFill>
      <spPr>
        <a:prstGeom xmlns:a="http://schemas.openxmlformats.org/drawingml/2006/main" prst="rect"/>
      </spPr>
    </pic>
    <clientData/>
  </oneCellAnchor>
  <oneCellAnchor>
    <from>
      <col>0</col>
      <colOff>0</colOff>
      <row>229</row>
      <rowOff>0</rowOff>
    </from>
    <ext cx="323850" cy="171450"/>
    <pic>
      <nvPicPr>
        <cNvPr id="196" name="Image 196" descr="Picture"/>
        <cNvPicPr/>
      </nvPicPr>
      <blipFill>
        <a:blip xmlns:a="http://schemas.openxmlformats.org/drawingml/2006/main" xmlns:r="http://schemas.openxmlformats.org/officeDocument/2006/relationships" cstate="print" r:embed="rId196"/>
        <a:stretch xmlns:a="http://schemas.openxmlformats.org/drawingml/2006/main">
          <a:fillRect/>
        </a:stretch>
      </blipFill>
      <spPr>
        <a:prstGeom xmlns:a="http://schemas.openxmlformats.org/drawingml/2006/main" prst="rect"/>
      </spPr>
    </pic>
    <clientData/>
  </oneCellAnchor>
  <oneCellAnchor>
    <from>
      <col>0</col>
      <colOff>0</colOff>
      <row>230</row>
      <rowOff>0</rowOff>
    </from>
    <ext cx="161925" cy="323850"/>
    <pic>
      <nvPicPr>
        <cNvPr id="197" name="Image 197" descr="Picture"/>
        <cNvPicPr/>
      </nvPicPr>
      <blipFill>
        <a:blip xmlns:a="http://schemas.openxmlformats.org/drawingml/2006/main" xmlns:r="http://schemas.openxmlformats.org/officeDocument/2006/relationships" cstate="print" r:embed="rId197"/>
        <a:stretch xmlns:a="http://schemas.openxmlformats.org/drawingml/2006/main">
          <a:fillRect/>
        </a:stretch>
      </blipFill>
      <spPr>
        <a:prstGeom xmlns:a="http://schemas.openxmlformats.org/drawingml/2006/main" prst="rect"/>
      </spPr>
    </pic>
    <clientData/>
  </oneCellAnchor>
  <oneCellAnchor>
    <from>
      <col>0</col>
      <colOff>0</colOff>
      <row>232</row>
      <rowOff>0</rowOff>
    </from>
    <ext cx="161925" cy="323850"/>
    <pic>
      <nvPicPr>
        <cNvPr id="198" name="Image 198" descr="Picture"/>
        <cNvPicPr/>
      </nvPicPr>
      <blipFill>
        <a:blip xmlns:a="http://schemas.openxmlformats.org/drawingml/2006/main" xmlns:r="http://schemas.openxmlformats.org/officeDocument/2006/relationships" cstate="print" r:embed="rId198"/>
        <a:stretch xmlns:a="http://schemas.openxmlformats.org/drawingml/2006/main">
          <a:fillRect/>
        </a:stretch>
      </blipFill>
      <spPr>
        <a:prstGeom xmlns:a="http://schemas.openxmlformats.org/drawingml/2006/main" prst="rect"/>
      </spPr>
    </pic>
    <clientData/>
  </oneCellAnchor>
  <oneCellAnchor>
    <from>
      <col>0</col>
      <colOff>0</colOff>
      <row>233</row>
      <rowOff>0</rowOff>
    </from>
    <ext cx="219075" cy="323850"/>
    <pic>
      <nvPicPr>
        <cNvPr id="199" name="Image 199" descr="Picture"/>
        <cNvPicPr/>
      </nvPicPr>
      <blipFill>
        <a:blip xmlns:a="http://schemas.openxmlformats.org/drawingml/2006/main" xmlns:r="http://schemas.openxmlformats.org/officeDocument/2006/relationships" cstate="print" r:embed="rId199"/>
        <a:stretch xmlns:a="http://schemas.openxmlformats.org/drawingml/2006/main">
          <a:fillRect/>
        </a:stretch>
      </blipFill>
      <spPr>
        <a:prstGeom xmlns:a="http://schemas.openxmlformats.org/drawingml/2006/main" prst="rect"/>
      </spPr>
    </pic>
    <clientData/>
  </oneCellAnchor>
  <oneCellAnchor>
    <from>
      <col>0</col>
      <colOff>0</colOff>
      <row>234</row>
      <rowOff>0</rowOff>
    </from>
    <ext cx="323850" cy="323850"/>
    <pic>
      <nvPicPr>
        <cNvPr id="200" name="Image 200" descr="Picture"/>
        <cNvPicPr/>
      </nvPicPr>
      <blipFill>
        <a:blip xmlns:a="http://schemas.openxmlformats.org/drawingml/2006/main" xmlns:r="http://schemas.openxmlformats.org/officeDocument/2006/relationships" cstate="print" r:embed="rId200"/>
        <a:stretch xmlns:a="http://schemas.openxmlformats.org/drawingml/2006/main">
          <a:fillRect/>
        </a:stretch>
      </blipFill>
      <spPr>
        <a:prstGeom xmlns:a="http://schemas.openxmlformats.org/drawingml/2006/main" prst="rect"/>
      </spPr>
    </pic>
    <clientData/>
  </oneCellAnchor>
  <oneCellAnchor>
    <from>
      <col>0</col>
      <colOff>0</colOff>
      <row>235</row>
      <rowOff>0</rowOff>
    </from>
    <ext cx="228600" cy="323850"/>
    <pic>
      <nvPicPr>
        <cNvPr id="201" name="Image 201" descr="Picture"/>
        <cNvPicPr/>
      </nvPicPr>
      <blipFill>
        <a:blip xmlns:a="http://schemas.openxmlformats.org/drawingml/2006/main" xmlns:r="http://schemas.openxmlformats.org/officeDocument/2006/relationships" cstate="print" r:embed="rId201"/>
        <a:stretch xmlns:a="http://schemas.openxmlformats.org/drawingml/2006/main">
          <a:fillRect/>
        </a:stretch>
      </blipFill>
      <spPr>
        <a:prstGeom xmlns:a="http://schemas.openxmlformats.org/drawingml/2006/main" prst="rect"/>
      </spPr>
    </pic>
    <clientData/>
  </oneCellAnchor>
  <oneCellAnchor>
    <from>
      <col>0</col>
      <colOff>0</colOff>
      <row>236</row>
      <rowOff>0</rowOff>
    </from>
    <ext cx="180975" cy="323850"/>
    <pic>
      <nvPicPr>
        <cNvPr id="202" name="Image 202" descr="Picture"/>
        <cNvPicPr/>
      </nvPicPr>
      <blipFill>
        <a:blip xmlns:a="http://schemas.openxmlformats.org/drawingml/2006/main" xmlns:r="http://schemas.openxmlformats.org/officeDocument/2006/relationships" cstate="print" r:embed="rId202"/>
        <a:stretch xmlns:a="http://schemas.openxmlformats.org/drawingml/2006/main">
          <a:fillRect/>
        </a:stretch>
      </blipFill>
      <spPr>
        <a:prstGeom xmlns:a="http://schemas.openxmlformats.org/drawingml/2006/main" prst="rect"/>
      </spPr>
    </pic>
    <clientData/>
  </oneCellAnchor>
  <oneCellAnchor>
    <from>
      <col>0</col>
      <colOff>0</colOff>
      <row>237</row>
      <rowOff>0</rowOff>
    </from>
    <ext cx="323850" cy="323850"/>
    <pic>
      <nvPicPr>
        <cNvPr id="203" name="Image 203" descr="Picture"/>
        <cNvPicPr/>
      </nvPicPr>
      <blipFill>
        <a:blip xmlns:a="http://schemas.openxmlformats.org/drawingml/2006/main" xmlns:r="http://schemas.openxmlformats.org/officeDocument/2006/relationships" cstate="print" r:embed="rId203"/>
        <a:stretch xmlns:a="http://schemas.openxmlformats.org/drawingml/2006/main">
          <a:fillRect/>
        </a:stretch>
      </blipFill>
      <spPr>
        <a:prstGeom xmlns:a="http://schemas.openxmlformats.org/drawingml/2006/main" prst="rect"/>
      </spPr>
    </pic>
    <clientData/>
  </oneCellAnchor>
  <oneCellAnchor>
    <from>
      <col>0</col>
      <colOff>0</colOff>
      <row>238</row>
      <rowOff>0</rowOff>
    </from>
    <ext cx="314325" cy="323850"/>
    <pic>
      <nvPicPr>
        <cNvPr id="204" name="Image 204" descr="Picture"/>
        <cNvPicPr/>
      </nvPicPr>
      <blipFill>
        <a:blip xmlns:a="http://schemas.openxmlformats.org/drawingml/2006/main" xmlns:r="http://schemas.openxmlformats.org/officeDocument/2006/relationships" cstate="print" r:embed="rId204"/>
        <a:stretch xmlns:a="http://schemas.openxmlformats.org/drawingml/2006/main">
          <a:fillRect/>
        </a:stretch>
      </blipFill>
      <spPr>
        <a:prstGeom xmlns:a="http://schemas.openxmlformats.org/drawingml/2006/main" prst="rect"/>
      </spPr>
    </pic>
    <clientData/>
  </oneCellAnchor>
  <oneCellAnchor>
    <from>
      <col>0</col>
      <colOff>0</colOff>
      <row>239</row>
      <rowOff>0</rowOff>
    </from>
    <ext cx="314325" cy="323850"/>
    <pic>
      <nvPicPr>
        <cNvPr id="205" name="Image 205" descr="Picture"/>
        <cNvPicPr/>
      </nvPicPr>
      <blipFill>
        <a:blip xmlns:a="http://schemas.openxmlformats.org/drawingml/2006/main" xmlns:r="http://schemas.openxmlformats.org/officeDocument/2006/relationships" cstate="print" r:embed="rId205"/>
        <a:stretch xmlns:a="http://schemas.openxmlformats.org/drawingml/2006/main">
          <a:fillRect/>
        </a:stretch>
      </blipFill>
      <spPr>
        <a:prstGeom xmlns:a="http://schemas.openxmlformats.org/drawingml/2006/main" prst="rect"/>
      </spPr>
    </pic>
    <clientData/>
  </oneCellAnchor>
  <oneCellAnchor>
    <from>
      <col>0</col>
      <colOff>0</colOff>
      <row>240</row>
      <rowOff>0</rowOff>
    </from>
    <ext cx="323850" cy="323850"/>
    <pic>
      <nvPicPr>
        <cNvPr id="206" name="Image 206" descr="Picture"/>
        <cNvPicPr/>
      </nvPicPr>
      <blipFill>
        <a:blip xmlns:a="http://schemas.openxmlformats.org/drawingml/2006/main" xmlns:r="http://schemas.openxmlformats.org/officeDocument/2006/relationships" cstate="print" r:embed="rId206"/>
        <a:stretch xmlns:a="http://schemas.openxmlformats.org/drawingml/2006/main">
          <a:fillRect/>
        </a:stretch>
      </blipFill>
      <spPr>
        <a:prstGeom xmlns:a="http://schemas.openxmlformats.org/drawingml/2006/main" prst="rect"/>
      </spPr>
    </pic>
    <clientData/>
  </oneCellAnchor>
  <oneCellAnchor>
    <from>
      <col>0</col>
      <colOff>0</colOff>
      <row>241</row>
      <rowOff>0</rowOff>
    </from>
    <ext cx="323850" cy="323850"/>
    <pic>
      <nvPicPr>
        <cNvPr id="207" name="Image 207" descr="Picture"/>
        <cNvPicPr/>
      </nvPicPr>
      <blipFill>
        <a:blip xmlns:a="http://schemas.openxmlformats.org/drawingml/2006/main" xmlns:r="http://schemas.openxmlformats.org/officeDocument/2006/relationships" cstate="print" r:embed="rId207"/>
        <a:stretch xmlns:a="http://schemas.openxmlformats.org/drawingml/2006/main">
          <a:fillRect/>
        </a:stretch>
      </blipFill>
      <spPr>
        <a:prstGeom xmlns:a="http://schemas.openxmlformats.org/drawingml/2006/main" prst="rect"/>
      </spPr>
    </pic>
    <clientData/>
  </oneCellAnchor>
  <oneCellAnchor>
    <from>
      <col>0</col>
      <colOff>0</colOff>
      <row>242</row>
      <rowOff>0</rowOff>
    </from>
    <ext cx="323850" cy="190500"/>
    <pic>
      <nvPicPr>
        <cNvPr id="208" name="Image 208" descr="Picture"/>
        <cNvPicPr/>
      </nvPicPr>
      <blipFill>
        <a:blip xmlns:a="http://schemas.openxmlformats.org/drawingml/2006/main" xmlns:r="http://schemas.openxmlformats.org/officeDocument/2006/relationships" cstate="print" r:embed="rId208"/>
        <a:stretch xmlns:a="http://schemas.openxmlformats.org/drawingml/2006/main">
          <a:fillRect/>
        </a:stretch>
      </blipFill>
      <spPr>
        <a:prstGeom xmlns:a="http://schemas.openxmlformats.org/drawingml/2006/main" prst="rect"/>
      </spPr>
    </pic>
    <clientData/>
  </oneCellAnchor>
  <oneCellAnchor>
    <from>
      <col>0</col>
      <colOff>0</colOff>
      <row>243</row>
      <rowOff>0</rowOff>
    </from>
    <ext cx="161925" cy="323850"/>
    <pic>
      <nvPicPr>
        <cNvPr id="209" name="Image 209" descr="Picture"/>
        <cNvPicPr/>
      </nvPicPr>
      <blipFill>
        <a:blip xmlns:a="http://schemas.openxmlformats.org/drawingml/2006/main" xmlns:r="http://schemas.openxmlformats.org/officeDocument/2006/relationships" cstate="print" r:embed="rId209"/>
        <a:stretch xmlns:a="http://schemas.openxmlformats.org/drawingml/2006/main">
          <a:fillRect/>
        </a:stretch>
      </blipFill>
      <spPr>
        <a:prstGeom xmlns:a="http://schemas.openxmlformats.org/drawingml/2006/main" prst="rect"/>
      </spPr>
    </pic>
    <clientData/>
  </oneCellAnchor>
  <oneCellAnchor>
    <from>
      <col>0</col>
      <colOff>0</colOff>
      <row>244</row>
      <rowOff>0</rowOff>
    </from>
    <ext cx="323850" cy="323850"/>
    <pic>
      <nvPicPr>
        <cNvPr id="210" name="Image 210" descr="Picture"/>
        <cNvPicPr/>
      </nvPicPr>
      <blipFill>
        <a:blip xmlns:a="http://schemas.openxmlformats.org/drawingml/2006/main" xmlns:r="http://schemas.openxmlformats.org/officeDocument/2006/relationships" cstate="print" r:embed="rId210"/>
        <a:stretch xmlns:a="http://schemas.openxmlformats.org/drawingml/2006/main">
          <a:fillRect/>
        </a:stretch>
      </blipFill>
      <spPr>
        <a:prstGeom xmlns:a="http://schemas.openxmlformats.org/drawingml/2006/main" prst="rect"/>
      </spPr>
    </pic>
    <clientData/>
  </oneCellAnchor>
  <oneCellAnchor>
    <from>
      <col>0</col>
      <colOff>0</colOff>
      <row>245</row>
      <rowOff>0</rowOff>
    </from>
    <ext cx="323850" cy="323850"/>
    <pic>
      <nvPicPr>
        <cNvPr id="211" name="Image 211" descr="Picture"/>
        <cNvPicPr/>
      </nvPicPr>
      <blipFill>
        <a:blip xmlns:a="http://schemas.openxmlformats.org/drawingml/2006/main" xmlns:r="http://schemas.openxmlformats.org/officeDocument/2006/relationships" cstate="print" r:embed="rId211"/>
        <a:stretch xmlns:a="http://schemas.openxmlformats.org/drawingml/2006/main">
          <a:fillRect/>
        </a:stretch>
      </blipFill>
      <spPr>
        <a:prstGeom xmlns:a="http://schemas.openxmlformats.org/drawingml/2006/main" prst="rect"/>
      </spPr>
    </pic>
    <clientData/>
  </oneCellAnchor>
  <oneCellAnchor>
    <from>
      <col>0</col>
      <colOff>0</colOff>
      <row>249</row>
      <rowOff>0</rowOff>
    </from>
    <ext cx="247650" cy="247650"/>
    <pic>
      <nvPicPr>
        <cNvPr id="212" name="Image 212" descr="Picture"/>
        <cNvPicPr/>
      </nvPicPr>
      <blipFill>
        <a:blip xmlns:a="http://schemas.openxmlformats.org/drawingml/2006/main" xmlns:r="http://schemas.openxmlformats.org/officeDocument/2006/relationships" cstate="print" r:embed="rId212"/>
        <a:stretch xmlns:a="http://schemas.openxmlformats.org/drawingml/2006/main">
          <a:fillRect/>
        </a:stretch>
      </blipFill>
      <spPr>
        <a:prstGeom xmlns:a="http://schemas.openxmlformats.org/drawingml/2006/main" prst="rect"/>
      </spPr>
    </pic>
    <clientData/>
  </oneCellAnchor>
  <oneCellAnchor>
    <from>
      <col>0</col>
      <colOff>0</colOff>
      <row>250</row>
      <rowOff>0</rowOff>
    </from>
    <ext cx="247650" cy="247650"/>
    <pic>
      <nvPicPr>
        <cNvPr id="213" name="Image 213" descr="Picture"/>
        <cNvPicPr/>
      </nvPicPr>
      <blipFill>
        <a:blip xmlns:a="http://schemas.openxmlformats.org/drawingml/2006/main" xmlns:r="http://schemas.openxmlformats.org/officeDocument/2006/relationships" cstate="print" r:embed="rId213"/>
        <a:stretch xmlns:a="http://schemas.openxmlformats.org/drawingml/2006/main">
          <a:fillRect/>
        </a:stretch>
      </blipFill>
      <spPr>
        <a:prstGeom xmlns:a="http://schemas.openxmlformats.org/drawingml/2006/main" prst="rect"/>
      </spPr>
    </pic>
    <clientData/>
  </oneCellAnchor>
  <oneCellAnchor>
    <from>
      <col>0</col>
      <colOff>0</colOff>
      <row>251</row>
      <rowOff>0</rowOff>
    </from>
    <ext cx="247650" cy="247650"/>
    <pic>
      <nvPicPr>
        <cNvPr id="214" name="Image 214" descr="Picture"/>
        <cNvPicPr/>
      </nvPicPr>
      <blipFill>
        <a:blip xmlns:a="http://schemas.openxmlformats.org/drawingml/2006/main" xmlns:r="http://schemas.openxmlformats.org/officeDocument/2006/relationships" cstate="print" r:embed="rId214"/>
        <a:stretch xmlns:a="http://schemas.openxmlformats.org/drawingml/2006/main">
          <a:fillRect/>
        </a:stretch>
      </blipFill>
      <spPr>
        <a:prstGeom xmlns:a="http://schemas.openxmlformats.org/drawingml/2006/main" prst="rect"/>
      </spPr>
    </pic>
    <clientData/>
  </oneCellAnchor>
  <oneCellAnchor>
    <from>
      <col>0</col>
      <colOff>0</colOff>
      <row>252</row>
      <rowOff>0</rowOff>
    </from>
    <ext cx="247650" cy="247650"/>
    <pic>
      <nvPicPr>
        <cNvPr id="215" name="Image 215" descr="Picture"/>
        <cNvPicPr/>
      </nvPicPr>
      <blipFill>
        <a:blip xmlns:a="http://schemas.openxmlformats.org/drawingml/2006/main" xmlns:r="http://schemas.openxmlformats.org/officeDocument/2006/relationships" cstate="print" r:embed="rId215"/>
        <a:stretch xmlns:a="http://schemas.openxmlformats.org/drawingml/2006/main">
          <a:fillRect/>
        </a:stretch>
      </blipFill>
      <spPr>
        <a:prstGeom xmlns:a="http://schemas.openxmlformats.org/drawingml/2006/main" prst="rect"/>
      </spPr>
    </pic>
    <clientData/>
  </oneCellAnchor>
  <oneCellAnchor>
    <from>
      <col>0</col>
      <colOff>0</colOff>
      <row>253</row>
      <rowOff>0</rowOff>
    </from>
    <ext cx="247650" cy="247650"/>
    <pic>
      <nvPicPr>
        <cNvPr id="216" name="Image 216" descr="Picture"/>
        <cNvPicPr/>
      </nvPicPr>
      <blipFill>
        <a:blip xmlns:a="http://schemas.openxmlformats.org/drawingml/2006/main" xmlns:r="http://schemas.openxmlformats.org/officeDocument/2006/relationships" cstate="print" r:embed="rId216"/>
        <a:stretch xmlns:a="http://schemas.openxmlformats.org/drawingml/2006/main">
          <a:fillRect/>
        </a:stretch>
      </blipFill>
      <spPr>
        <a:prstGeom xmlns:a="http://schemas.openxmlformats.org/drawingml/2006/main" prst="rect"/>
      </spPr>
    </pic>
    <clientData/>
  </oneCellAnchor>
  <oneCellAnchor>
    <from>
      <col>0</col>
      <colOff>0</colOff>
      <row>254</row>
      <rowOff>0</rowOff>
    </from>
    <ext cx="247650" cy="247650"/>
    <pic>
      <nvPicPr>
        <cNvPr id="217" name="Image 217" descr="Picture"/>
        <cNvPicPr/>
      </nvPicPr>
      <blipFill>
        <a:blip xmlns:a="http://schemas.openxmlformats.org/drawingml/2006/main" xmlns:r="http://schemas.openxmlformats.org/officeDocument/2006/relationships" cstate="print" r:embed="rId217"/>
        <a:stretch xmlns:a="http://schemas.openxmlformats.org/drawingml/2006/main">
          <a:fillRect/>
        </a:stretch>
      </blipFill>
      <spPr>
        <a:prstGeom xmlns:a="http://schemas.openxmlformats.org/drawingml/2006/main" prst="rect"/>
      </spPr>
    </pic>
    <clientData/>
  </oneCellAnchor>
  <oneCellAnchor>
    <from>
      <col>0</col>
      <colOff>0</colOff>
      <row>255</row>
      <rowOff>0</rowOff>
    </from>
    <ext cx="247650" cy="247650"/>
    <pic>
      <nvPicPr>
        <cNvPr id="218" name="Image 218" descr="Picture"/>
        <cNvPicPr/>
      </nvPicPr>
      <blipFill>
        <a:blip xmlns:a="http://schemas.openxmlformats.org/drawingml/2006/main" xmlns:r="http://schemas.openxmlformats.org/officeDocument/2006/relationships" cstate="print" r:embed="rId218"/>
        <a:stretch xmlns:a="http://schemas.openxmlformats.org/drawingml/2006/main">
          <a:fillRect/>
        </a:stretch>
      </blipFill>
      <spPr>
        <a:prstGeom xmlns:a="http://schemas.openxmlformats.org/drawingml/2006/main" prst="rect"/>
      </spPr>
    </pic>
    <clientData/>
  </oneCellAnchor>
  <oneCellAnchor>
    <from>
      <col>0</col>
      <colOff>0</colOff>
      <row>256</row>
      <rowOff>0</rowOff>
    </from>
    <ext cx="247650" cy="247650"/>
    <pic>
      <nvPicPr>
        <cNvPr id="219" name="Image 219" descr="Picture"/>
        <cNvPicPr/>
      </nvPicPr>
      <blipFill>
        <a:blip xmlns:a="http://schemas.openxmlformats.org/drawingml/2006/main" xmlns:r="http://schemas.openxmlformats.org/officeDocument/2006/relationships" cstate="print" r:embed="rId219"/>
        <a:stretch xmlns:a="http://schemas.openxmlformats.org/drawingml/2006/main">
          <a:fillRect/>
        </a:stretch>
      </blipFill>
      <spPr>
        <a:prstGeom xmlns:a="http://schemas.openxmlformats.org/drawingml/2006/main" prst="rect"/>
      </spPr>
    </pic>
    <clientData/>
  </oneCellAnchor>
  <oneCellAnchor>
    <from>
      <col>0</col>
      <colOff>0</colOff>
      <row>257</row>
      <rowOff>0</rowOff>
    </from>
    <ext cx="247650" cy="247650"/>
    <pic>
      <nvPicPr>
        <cNvPr id="220" name="Image 220" descr="Picture"/>
        <cNvPicPr/>
      </nvPicPr>
      <blipFill>
        <a:blip xmlns:a="http://schemas.openxmlformats.org/drawingml/2006/main" xmlns:r="http://schemas.openxmlformats.org/officeDocument/2006/relationships" cstate="print" r:embed="rId220"/>
        <a:stretch xmlns:a="http://schemas.openxmlformats.org/drawingml/2006/main">
          <a:fillRect/>
        </a:stretch>
      </blipFill>
      <spPr>
        <a:prstGeom xmlns:a="http://schemas.openxmlformats.org/drawingml/2006/main" prst="rect"/>
      </spPr>
    </pic>
    <clientData/>
  </oneCellAnchor>
  <oneCellAnchor>
    <from>
      <col>0</col>
      <colOff>0</colOff>
      <row>258</row>
      <rowOff>0</rowOff>
    </from>
    <ext cx="247650" cy="247650"/>
    <pic>
      <nvPicPr>
        <cNvPr id="221" name="Image 221" descr="Picture"/>
        <cNvPicPr/>
      </nvPicPr>
      <blipFill>
        <a:blip xmlns:a="http://schemas.openxmlformats.org/drawingml/2006/main" xmlns:r="http://schemas.openxmlformats.org/officeDocument/2006/relationships" cstate="print" r:embed="rId221"/>
        <a:stretch xmlns:a="http://schemas.openxmlformats.org/drawingml/2006/main">
          <a:fillRect/>
        </a:stretch>
      </blipFill>
      <spPr>
        <a:prstGeom xmlns:a="http://schemas.openxmlformats.org/drawingml/2006/main" prst="rect"/>
      </spPr>
    </pic>
    <clientData/>
  </oneCellAnchor>
  <oneCellAnchor>
    <from>
      <col>0</col>
      <colOff>0</colOff>
      <row>259</row>
      <rowOff>0</rowOff>
    </from>
    <ext cx="247650" cy="247650"/>
    <pic>
      <nvPicPr>
        <cNvPr id="222" name="Image 222" descr="Picture"/>
        <cNvPicPr/>
      </nvPicPr>
      <blipFill>
        <a:blip xmlns:a="http://schemas.openxmlformats.org/drawingml/2006/main" xmlns:r="http://schemas.openxmlformats.org/officeDocument/2006/relationships" cstate="print" r:embed="rId222"/>
        <a:stretch xmlns:a="http://schemas.openxmlformats.org/drawingml/2006/main">
          <a:fillRect/>
        </a:stretch>
      </blipFill>
      <spPr>
        <a:prstGeom xmlns:a="http://schemas.openxmlformats.org/drawingml/2006/main" prst="rect"/>
      </spPr>
    </pic>
    <clientData/>
  </oneCellAnchor>
  <oneCellAnchor>
    <from>
      <col>0</col>
      <colOff>0</colOff>
      <row>260</row>
      <rowOff>0</rowOff>
    </from>
    <ext cx="247650" cy="247650"/>
    <pic>
      <nvPicPr>
        <cNvPr id="223" name="Image 223" descr="Picture"/>
        <cNvPicPr/>
      </nvPicPr>
      <blipFill>
        <a:blip xmlns:a="http://schemas.openxmlformats.org/drawingml/2006/main" xmlns:r="http://schemas.openxmlformats.org/officeDocument/2006/relationships" cstate="print" r:embed="rId223"/>
        <a:stretch xmlns:a="http://schemas.openxmlformats.org/drawingml/2006/main">
          <a:fillRect/>
        </a:stretch>
      </blipFill>
      <spPr>
        <a:prstGeom xmlns:a="http://schemas.openxmlformats.org/drawingml/2006/main" prst="rect"/>
      </spPr>
    </pic>
    <clientData/>
  </oneCellAnchor>
  <oneCellAnchor>
    <from>
      <col>0</col>
      <colOff>0</colOff>
      <row>261</row>
      <rowOff>0</rowOff>
    </from>
    <ext cx="247650" cy="247650"/>
    <pic>
      <nvPicPr>
        <cNvPr id="224" name="Image 224" descr="Picture"/>
        <cNvPicPr/>
      </nvPicPr>
      <blipFill>
        <a:blip xmlns:a="http://schemas.openxmlformats.org/drawingml/2006/main" xmlns:r="http://schemas.openxmlformats.org/officeDocument/2006/relationships" cstate="print" r:embed="rId224"/>
        <a:stretch xmlns:a="http://schemas.openxmlformats.org/drawingml/2006/main">
          <a:fillRect/>
        </a:stretch>
      </blipFill>
      <spPr>
        <a:prstGeom xmlns:a="http://schemas.openxmlformats.org/drawingml/2006/main" prst="rect"/>
      </spPr>
    </pic>
    <clientData/>
  </oneCellAnchor>
  <oneCellAnchor>
    <from>
      <col>0</col>
      <colOff>0</colOff>
      <row>262</row>
      <rowOff>0</rowOff>
    </from>
    <ext cx="247650" cy="247650"/>
    <pic>
      <nvPicPr>
        <cNvPr id="225" name="Image 225" descr="Picture"/>
        <cNvPicPr/>
      </nvPicPr>
      <blipFill>
        <a:blip xmlns:a="http://schemas.openxmlformats.org/drawingml/2006/main" xmlns:r="http://schemas.openxmlformats.org/officeDocument/2006/relationships" cstate="print" r:embed="rId225"/>
        <a:stretch xmlns:a="http://schemas.openxmlformats.org/drawingml/2006/main">
          <a:fillRect/>
        </a:stretch>
      </blipFill>
      <spPr>
        <a:prstGeom xmlns:a="http://schemas.openxmlformats.org/drawingml/2006/main" prst="rect"/>
      </spPr>
    </pic>
    <clientData/>
  </oneCellAnchor>
  <oneCellAnchor>
    <from>
      <col>0</col>
      <colOff>0</colOff>
      <row>264</row>
      <rowOff>0</rowOff>
    </from>
    <ext cx="161925" cy="323850"/>
    <pic>
      <nvPicPr>
        <cNvPr id="226" name="Image 226" descr="Picture"/>
        <cNvPicPr/>
      </nvPicPr>
      <blipFill>
        <a:blip xmlns:a="http://schemas.openxmlformats.org/drawingml/2006/main" xmlns:r="http://schemas.openxmlformats.org/officeDocument/2006/relationships" cstate="print" r:embed="rId226"/>
        <a:stretch xmlns:a="http://schemas.openxmlformats.org/drawingml/2006/main">
          <a:fillRect/>
        </a:stretch>
      </blipFill>
      <spPr>
        <a:prstGeom xmlns:a="http://schemas.openxmlformats.org/drawingml/2006/main" prst="rect"/>
      </spPr>
    </pic>
    <clientData/>
  </oneCellAnchor>
  <oneCellAnchor>
    <from>
      <col>0</col>
      <colOff>0</colOff>
      <row>265</row>
      <rowOff>0</rowOff>
    </from>
    <ext cx="219075" cy="323850"/>
    <pic>
      <nvPicPr>
        <cNvPr id="227" name="Image 227" descr="Picture"/>
        <cNvPicPr/>
      </nvPicPr>
      <blipFill>
        <a:blip xmlns:a="http://schemas.openxmlformats.org/drawingml/2006/main" xmlns:r="http://schemas.openxmlformats.org/officeDocument/2006/relationships" cstate="print" r:embed="rId227"/>
        <a:stretch xmlns:a="http://schemas.openxmlformats.org/drawingml/2006/main">
          <a:fillRect/>
        </a:stretch>
      </blipFill>
      <spPr>
        <a:prstGeom xmlns:a="http://schemas.openxmlformats.org/drawingml/2006/main" prst="rect"/>
      </spPr>
    </pic>
    <clientData/>
  </oneCellAnchor>
  <oneCellAnchor>
    <from>
      <col>0</col>
      <colOff>0</colOff>
      <row>266</row>
      <rowOff>0</rowOff>
    </from>
    <ext cx="323850" cy="323850"/>
    <pic>
      <nvPicPr>
        <cNvPr id="228" name="Image 228" descr="Picture"/>
        <cNvPicPr/>
      </nvPicPr>
      <blipFill>
        <a:blip xmlns:a="http://schemas.openxmlformats.org/drawingml/2006/main" xmlns:r="http://schemas.openxmlformats.org/officeDocument/2006/relationships" cstate="print" r:embed="rId228"/>
        <a:stretch xmlns:a="http://schemas.openxmlformats.org/drawingml/2006/main">
          <a:fillRect/>
        </a:stretch>
      </blipFill>
      <spPr>
        <a:prstGeom xmlns:a="http://schemas.openxmlformats.org/drawingml/2006/main" prst="rect"/>
      </spPr>
    </pic>
    <clientData/>
  </oneCellAnchor>
  <oneCellAnchor>
    <from>
      <col>0</col>
      <colOff>0</colOff>
      <row>267</row>
      <rowOff>0</rowOff>
    </from>
    <ext cx="228600" cy="323850"/>
    <pic>
      <nvPicPr>
        <cNvPr id="229" name="Image 229" descr="Picture"/>
        <cNvPicPr/>
      </nvPicPr>
      <blipFill>
        <a:blip xmlns:a="http://schemas.openxmlformats.org/drawingml/2006/main" xmlns:r="http://schemas.openxmlformats.org/officeDocument/2006/relationships" cstate="print" r:embed="rId229"/>
        <a:stretch xmlns:a="http://schemas.openxmlformats.org/drawingml/2006/main">
          <a:fillRect/>
        </a:stretch>
      </blipFill>
      <spPr>
        <a:prstGeom xmlns:a="http://schemas.openxmlformats.org/drawingml/2006/main" prst="rect"/>
      </spPr>
    </pic>
    <clientData/>
  </oneCellAnchor>
  <oneCellAnchor>
    <from>
      <col>0</col>
      <colOff>0</colOff>
      <row>268</row>
      <rowOff>0</rowOff>
    </from>
    <ext cx="180975" cy="323850"/>
    <pic>
      <nvPicPr>
        <cNvPr id="230" name="Image 230" descr="Picture"/>
        <cNvPicPr/>
      </nvPicPr>
      <blipFill>
        <a:blip xmlns:a="http://schemas.openxmlformats.org/drawingml/2006/main" xmlns:r="http://schemas.openxmlformats.org/officeDocument/2006/relationships" cstate="print" r:embed="rId230"/>
        <a:stretch xmlns:a="http://schemas.openxmlformats.org/drawingml/2006/main">
          <a:fillRect/>
        </a:stretch>
      </blipFill>
      <spPr>
        <a:prstGeom xmlns:a="http://schemas.openxmlformats.org/drawingml/2006/main" prst="rect"/>
      </spPr>
    </pic>
    <clientData/>
  </oneCellAnchor>
  <oneCellAnchor>
    <from>
      <col>0</col>
      <colOff>0</colOff>
      <row>269</row>
      <rowOff>0</rowOff>
    </from>
    <ext cx="285750" cy="323850"/>
    <pic>
      <nvPicPr>
        <cNvPr id="231" name="Image 231" descr="Picture"/>
        <cNvPicPr/>
      </nvPicPr>
      <blipFill>
        <a:blip xmlns:a="http://schemas.openxmlformats.org/drawingml/2006/main" xmlns:r="http://schemas.openxmlformats.org/officeDocument/2006/relationships" cstate="print" r:embed="rId231"/>
        <a:stretch xmlns:a="http://schemas.openxmlformats.org/drawingml/2006/main">
          <a:fillRect/>
        </a:stretch>
      </blipFill>
      <spPr>
        <a:prstGeom xmlns:a="http://schemas.openxmlformats.org/drawingml/2006/main" prst="rect"/>
      </spPr>
    </pic>
    <clientData/>
  </oneCellAnchor>
  <oneCellAnchor>
    <from>
      <col>0</col>
      <colOff>0</colOff>
      <row>270</row>
      <rowOff>0</rowOff>
    </from>
    <ext cx="228600" cy="323850"/>
    <pic>
      <nvPicPr>
        <cNvPr id="232" name="Image 232" descr="Picture"/>
        <cNvPicPr/>
      </nvPicPr>
      <blipFill>
        <a:blip xmlns:a="http://schemas.openxmlformats.org/drawingml/2006/main" xmlns:r="http://schemas.openxmlformats.org/officeDocument/2006/relationships" cstate="print" r:embed="rId232"/>
        <a:stretch xmlns:a="http://schemas.openxmlformats.org/drawingml/2006/main">
          <a:fillRect/>
        </a:stretch>
      </blipFill>
      <spPr>
        <a:prstGeom xmlns:a="http://schemas.openxmlformats.org/drawingml/2006/main" prst="rect"/>
      </spPr>
    </pic>
    <clientData/>
  </oneCellAnchor>
  <oneCellAnchor>
    <from>
      <col>0</col>
      <colOff>0</colOff>
      <row>271</row>
      <rowOff>0</rowOff>
    </from>
    <ext cx="314325" cy="323850"/>
    <pic>
      <nvPicPr>
        <cNvPr id="233" name="Image 233" descr="Picture"/>
        <cNvPicPr/>
      </nvPicPr>
      <blipFill>
        <a:blip xmlns:a="http://schemas.openxmlformats.org/drawingml/2006/main" xmlns:r="http://schemas.openxmlformats.org/officeDocument/2006/relationships" cstate="print" r:embed="rId233"/>
        <a:stretch xmlns:a="http://schemas.openxmlformats.org/drawingml/2006/main">
          <a:fillRect/>
        </a:stretch>
      </blipFill>
      <spPr>
        <a:prstGeom xmlns:a="http://schemas.openxmlformats.org/drawingml/2006/main" prst="rect"/>
      </spPr>
    </pic>
    <clientData/>
  </oneCellAnchor>
  <oneCellAnchor>
    <from>
      <col>0</col>
      <colOff>0</colOff>
      <row>272</row>
      <rowOff>0</rowOff>
    </from>
    <ext cx="323850" cy="323850"/>
    <pic>
      <nvPicPr>
        <cNvPr id="234" name="Image 234" descr="Picture"/>
        <cNvPicPr/>
      </nvPicPr>
      <blipFill>
        <a:blip xmlns:a="http://schemas.openxmlformats.org/drawingml/2006/main" xmlns:r="http://schemas.openxmlformats.org/officeDocument/2006/relationships" cstate="print" r:embed="rId234"/>
        <a:stretch xmlns:a="http://schemas.openxmlformats.org/drawingml/2006/main">
          <a:fillRect/>
        </a:stretch>
      </blipFill>
      <spPr>
        <a:prstGeom xmlns:a="http://schemas.openxmlformats.org/drawingml/2006/main" prst="rect"/>
      </spPr>
    </pic>
    <clientData/>
  </oneCellAnchor>
  <oneCellAnchor>
    <from>
      <col>0</col>
      <colOff>0</colOff>
      <row>273</row>
      <rowOff>0</rowOff>
    </from>
    <ext cx="323850" cy="323850"/>
    <pic>
      <nvPicPr>
        <cNvPr id="235" name="Image 235" descr="Picture"/>
        <cNvPicPr/>
      </nvPicPr>
      <blipFill>
        <a:blip xmlns:a="http://schemas.openxmlformats.org/drawingml/2006/main" xmlns:r="http://schemas.openxmlformats.org/officeDocument/2006/relationships" cstate="print" r:embed="rId235"/>
        <a:stretch xmlns:a="http://schemas.openxmlformats.org/drawingml/2006/main">
          <a:fillRect/>
        </a:stretch>
      </blipFill>
      <spPr>
        <a:prstGeom xmlns:a="http://schemas.openxmlformats.org/drawingml/2006/main" prst="rect"/>
      </spPr>
    </pic>
    <clientData/>
  </oneCellAnchor>
  <oneCellAnchor>
    <from>
      <col>0</col>
      <colOff>0</colOff>
      <row>274</row>
      <rowOff>0</rowOff>
    </from>
    <ext cx="323850" cy="161925"/>
    <pic>
      <nvPicPr>
        <cNvPr id="236" name="Image 236" descr="Picture"/>
        <cNvPicPr/>
      </nvPicPr>
      <blipFill>
        <a:blip xmlns:a="http://schemas.openxmlformats.org/drawingml/2006/main" xmlns:r="http://schemas.openxmlformats.org/officeDocument/2006/relationships" cstate="print" r:embed="rId236"/>
        <a:stretch xmlns:a="http://schemas.openxmlformats.org/drawingml/2006/main">
          <a:fillRect/>
        </a:stretch>
      </blipFill>
      <spPr>
        <a:prstGeom xmlns:a="http://schemas.openxmlformats.org/drawingml/2006/main" prst="rect"/>
      </spPr>
    </pic>
    <clientData/>
  </oneCellAnchor>
  <oneCellAnchor>
    <from>
      <col>0</col>
      <colOff>0</colOff>
      <row>275</row>
      <rowOff>0</rowOff>
    </from>
    <ext cx="161925" cy="323850"/>
    <pic>
      <nvPicPr>
        <cNvPr id="237" name="Image 237" descr="Picture"/>
        <cNvPicPr/>
      </nvPicPr>
      <blipFill>
        <a:blip xmlns:a="http://schemas.openxmlformats.org/drawingml/2006/main" xmlns:r="http://schemas.openxmlformats.org/officeDocument/2006/relationships" cstate="print" r:embed="rId237"/>
        <a:stretch xmlns:a="http://schemas.openxmlformats.org/drawingml/2006/main">
          <a:fillRect/>
        </a:stretch>
      </blipFill>
      <spPr>
        <a:prstGeom xmlns:a="http://schemas.openxmlformats.org/drawingml/2006/main" prst="rect"/>
      </spPr>
    </pic>
    <clientData/>
  </oneCellAnchor>
  <oneCellAnchor>
    <from>
      <col>0</col>
      <colOff>0</colOff>
      <row>276</row>
      <rowOff>0</rowOff>
    </from>
    <ext cx="323850" cy="323850"/>
    <pic>
      <nvPicPr>
        <cNvPr id="238" name="Image 238" descr="Picture"/>
        <cNvPicPr/>
      </nvPicPr>
      <blipFill>
        <a:blip xmlns:a="http://schemas.openxmlformats.org/drawingml/2006/main" xmlns:r="http://schemas.openxmlformats.org/officeDocument/2006/relationships" cstate="print" r:embed="rId238"/>
        <a:stretch xmlns:a="http://schemas.openxmlformats.org/drawingml/2006/main">
          <a:fillRect/>
        </a:stretch>
      </blipFill>
      <spPr>
        <a:prstGeom xmlns:a="http://schemas.openxmlformats.org/drawingml/2006/main" prst="rect"/>
      </spPr>
    </pic>
    <clientData/>
  </oneCellAnchor>
  <oneCellAnchor>
    <from>
      <col>0</col>
      <colOff>0</colOff>
      <row>277</row>
      <rowOff>0</rowOff>
    </from>
    <ext cx="323850" cy="323850"/>
    <pic>
      <nvPicPr>
        <cNvPr id="239" name="Image 239" descr="Picture"/>
        <cNvPicPr/>
      </nvPicPr>
      <blipFill>
        <a:blip xmlns:a="http://schemas.openxmlformats.org/drawingml/2006/main" xmlns:r="http://schemas.openxmlformats.org/officeDocument/2006/relationships" cstate="print" r:embed="rId239"/>
        <a:stretch xmlns:a="http://schemas.openxmlformats.org/drawingml/2006/main">
          <a:fillRect/>
        </a:stretch>
      </blipFill>
      <spPr>
        <a:prstGeom xmlns:a="http://schemas.openxmlformats.org/drawingml/2006/main" prst="rect"/>
      </spPr>
    </pic>
    <clientData/>
  </oneCellAnchor>
  <oneCellAnchor>
    <from>
      <col>0</col>
      <colOff>0</colOff>
      <row>278</row>
      <rowOff>0</rowOff>
    </from>
    <ext cx="323850" cy="323850"/>
    <pic>
      <nvPicPr>
        <cNvPr id="240" name="Image 240" descr="Picture"/>
        <cNvPicPr/>
      </nvPicPr>
      <blipFill>
        <a:blip xmlns:a="http://schemas.openxmlformats.org/drawingml/2006/main" xmlns:r="http://schemas.openxmlformats.org/officeDocument/2006/relationships" cstate="print" r:embed="rId240"/>
        <a:stretch xmlns:a="http://schemas.openxmlformats.org/drawingml/2006/main">
          <a:fillRect/>
        </a:stretch>
      </blipFill>
      <spPr>
        <a:prstGeom xmlns:a="http://schemas.openxmlformats.org/drawingml/2006/main" prst="rect"/>
      </spPr>
    </pic>
    <clientData/>
  </oneCellAnchor>
  <oneCellAnchor>
    <from>
      <col>0</col>
      <colOff>0</colOff>
      <row>280</row>
      <rowOff>0</rowOff>
    </from>
    <ext cx="161925" cy="323850"/>
    <pic>
      <nvPicPr>
        <cNvPr id="241" name="Image 241" descr="Picture"/>
        <cNvPicPr/>
      </nvPicPr>
      <blipFill>
        <a:blip xmlns:a="http://schemas.openxmlformats.org/drawingml/2006/main" xmlns:r="http://schemas.openxmlformats.org/officeDocument/2006/relationships" cstate="print" r:embed="rId241"/>
        <a:stretch xmlns:a="http://schemas.openxmlformats.org/drawingml/2006/main">
          <a:fillRect/>
        </a:stretch>
      </blipFill>
      <spPr>
        <a:prstGeom xmlns:a="http://schemas.openxmlformats.org/drawingml/2006/main" prst="rect"/>
      </spPr>
    </pic>
    <clientData/>
  </oneCellAnchor>
  <oneCellAnchor>
    <from>
      <col>0</col>
      <colOff>0</colOff>
      <row>281</row>
      <rowOff>0</rowOff>
    </from>
    <ext cx="219075" cy="323850"/>
    <pic>
      <nvPicPr>
        <cNvPr id="242" name="Image 242" descr="Picture"/>
        <cNvPicPr/>
      </nvPicPr>
      <blipFill>
        <a:blip xmlns:a="http://schemas.openxmlformats.org/drawingml/2006/main" xmlns:r="http://schemas.openxmlformats.org/officeDocument/2006/relationships" cstate="print" r:embed="rId242"/>
        <a:stretch xmlns:a="http://schemas.openxmlformats.org/drawingml/2006/main">
          <a:fillRect/>
        </a:stretch>
      </blipFill>
      <spPr>
        <a:prstGeom xmlns:a="http://schemas.openxmlformats.org/drawingml/2006/main" prst="rect"/>
      </spPr>
    </pic>
    <clientData/>
  </oneCellAnchor>
  <oneCellAnchor>
    <from>
      <col>0</col>
      <colOff>0</colOff>
      <row>282</row>
      <rowOff>0</rowOff>
    </from>
    <ext cx="323850" cy="323850"/>
    <pic>
      <nvPicPr>
        <cNvPr id="243" name="Image 243" descr="Picture"/>
        <cNvPicPr/>
      </nvPicPr>
      <blipFill>
        <a:blip xmlns:a="http://schemas.openxmlformats.org/drawingml/2006/main" xmlns:r="http://schemas.openxmlformats.org/officeDocument/2006/relationships" cstate="print" r:embed="rId243"/>
        <a:stretch xmlns:a="http://schemas.openxmlformats.org/drawingml/2006/main">
          <a:fillRect/>
        </a:stretch>
      </blipFill>
      <spPr>
        <a:prstGeom xmlns:a="http://schemas.openxmlformats.org/drawingml/2006/main" prst="rect"/>
      </spPr>
    </pic>
    <clientData/>
  </oneCellAnchor>
  <oneCellAnchor>
    <from>
      <col>0</col>
      <colOff>0</colOff>
      <row>283</row>
      <rowOff>0</rowOff>
    </from>
    <ext cx="228600" cy="323850"/>
    <pic>
      <nvPicPr>
        <cNvPr id="244" name="Image 244" descr="Picture"/>
        <cNvPicPr/>
      </nvPicPr>
      <blipFill>
        <a:blip xmlns:a="http://schemas.openxmlformats.org/drawingml/2006/main" xmlns:r="http://schemas.openxmlformats.org/officeDocument/2006/relationships" cstate="print" r:embed="rId244"/>
        <a:stretch xmlns:a="http://schemas.openxmlformats.org/drawingml/2006/main">
          <a:fillRect/>
        </a:stretch>
      </blipFill>
      <spPr>
        <a:prstGeom xmlns:a="http://schemas.openxmlformats.org/drawingml/2006/main" prst="rect"/>
      </spPr>
    </pic>
    <clientData/>
  </oneCellAnchor>
  <oneCellAnchor>
    <from>
      <col>0</col>
      <colOff>0</colOff>
      <row>284</row>
      <rowOff>0</rowOff>
    </from>
    <ext cx="180975" cy="323850"/>
    <pic>
      <nvPicPr>
        <cNvPr id="245" name="Image 245" descr="Picture"/>
        <cNvPicPr/>
      </nvPicPr>
      <blipFill>
        <a:blip xmlns:a="http://schemas.openxmlformats.org/drawingml/2006/main" xmlns:r="http://schemas.openxmlformats.org/officeDocument/2006/relationships" cstate="print" r:embed="rId245"/>
        <a:stretch xmlns:a="http://schemas.openxmlformats.org/drawingml/2006/main">
          <a:fillRect/>
        </a:stretch>
      </blipFill>
      <spPr>
        <a:prstGeom xmlns:a="http://schemas.openxmlformats.org/drawingml/2006/main" prst="rect"/>
      </spPr>
    </pic>
    <clientData/>
  </oneCellAnchor>
  <oneCellAnchor>
    <from>
      <col>0</col>
      <colOff>0</colOff>
      <row>285</row>
      <rowOff>0</rowOff>
    </from>
    <ext cx="285750" cy="323850"/>
    <pic>
      <nvPicPr>
        <cNvPr id="246" name="Image 246" descr="Picture"/>
        <cNvPicPr/>
      </nvPicPr>
      <blipFill>
        <a:blip xmlns:a="http://schemas.openxmlformats.org/drawingml/2006/main" xmlns:r="http://schemas.openxmlformats.org/officeDocument/2006/relationships" cstate="print" r:embed="rId246"/>
        <a:stretch xmlns:a="http://schemas.openxmlformats.org/drawingml/2006/main">
          <a:fillRect/>
        </a:stretch>
      </blipFill>
      <spPr>
        <a:prstGeom xmlns:a="http://schemas.openxmlformats.org/drawingml/2006/main" prst="rect"/>
      </spPr>
    </pic>
    <clientData/>
  </oneCellAnchor>
  <oneCellAnchor>
    <from>
      <col>0</col>
      <colOff>0</colOff>
      <row>286</row>
      <rowOff>0</rowOff>
    </from>
    <ext cx="228600" cy="323850"/>
    <pic>
      <nvPicPr>
        <cNvPr id="247" name="Image 247" descr="Picture"/>
        <cNvPicPr/>
      </nvPicPr>
      <blipFill>
        <a:blip xmlns:a="http://schemas.openxmlformats.org/drawingml/2006/main" xmlns:r="http://schemas.openxmlformats.org/officeDocument/2006/relationships" cstate="print" r:embed="rId247"/>
        <a:stretch xmlns:a="http://schemas.openxmlformats.org/drawingml/2006/main">
          <a:fillRect/>
        </a:stretch>
      </blipFill>
      <spPr>
        <a:prstGeom xmlns:a="http://schemas.openxmlformats.org/drawingml/2006/main" prst="rect"/>
      </spPr>
    </pic>
    <clientData/>
  </oneCellAnchor>
  <oneCellAnchor>
    <from>
      <col>0</col>
      <colOff>0</colOff>
      <row>287</row>
      <rowOff>0</rowOff>
    </from>
    <ext cx="314325" cy="323850"/>
    <pic>
      <nvPicPr>
        <cNvPr id="248" name="Image 248" descr="Picture"/>
        <cNvPicPr/>
      </nvPicPr>
      <blipFill>
        <a:blip xmlns:a="http://schemas.openxmlformats.org/drawingml/2006/main" xmlns:r="http://schemas.openxmlformats.org/officeDocument/2006/relationships" cstate="print" r:embed="rId248"/>
        <a:stretch xmlns:a="http://schemas.openxmlformats.org/drawingml/2006/main">
          <a:fillRect/>
        </a:stretch>
      </blipFill>
      <spPr>
        <a:prstGeom xmlns:a="http://schemas.openxmlformats.org/drawingml/2006/main" prst="rect"/>
      </spPr>
    </pic>
    <clientData/>
  </oneCellAnchor>
  <oneCellAnchor>
    <from>
      <col>0</col>
      <colOff>0</colOff>
      <row>288</row>
      <rowOff>0</rowOff>
    </from>
    <ext cx="323850" cy="323850"/>
    <pic>
      <nvPicPr>
        <cNvPr id="249" name="Image 249" descr="Picture"/>
        <cNvPicPr/>
      </nvPicPr>
      <blipFill>
        <a:blip xmlns:a="http://schemas.openxmlformats.org/drawingml/2006/main" xmlns:r="http://schemas.openxmlformats.org/officeDocument/2006/relationships" cstate="print" r:embed="rId249"/>
        <a:stretch xmlns:a="http://schemas.openxmlformats.org/drawingml/2006/main">
          <a:fillRect/>
        </a:stretch>
      </blipFill>
      <spPr>
        <a:prstGeom xmlns:a="http://schemas.openxmlformats.org/drawingml/2006/main" prst="rect"/>
      </spPr>
    </pic>
    <clientData/>
  </oneCellAnchor>
  <oneCellAnchor>
    <from>
      <col>0</col>
      <colOff>0</colOff>
      <row>289</row>
      <rowOff>0</rowOff>
    </from>
    <ext cx="323850" cy="323850"/>
    <pic>
      <nvPicPr>
        <cNvPr id="250" name="Image 250" descr="Picture"/>
        <cNvPicPr/>
      </nvPicPr>
      <blipFill>
        <a:blip xmlns:a="http://schemas.openxmlformats.org/drawingml/2006/main" xmlns:r="http://schemas.openxmlformats.org/officeDocument/2006/relationships" cstate="print" r:embed="rId250"/>
        <a:stretch xmlns:a="http://schemas.openxmlformats.org/drawingml/2006/main">
          <a:fillRect/>
        </a:stretch>
      </blipFill>
      <spPr>
        <a:prstGeom xmlns:a="http://schemas.openxmlformats.org/drawingml/2006/main" prst="rect"/>
      </spPr>
    </pic>
    <clientData/>
  </oneCellAnchor>
  <oneCellAnchor>
    <from>
      <col>0</col>
      <colOff>0</colOff>
      <row>290</row>
      <rowOff>0</rowOff>
    </from>
    <ext cx="323850" cy="161925"/>
    <pic>
      <nvPicPr>
        <cNvPr id="251" name="Image 251" descr="Picture"/>
        <cNvPicPr/>
      </nvPicPr>
      <blipFill>
        <a:blip xmlns:a="http://schemas.openxmlformats.org/drawingml/2006/main" xmlns:r="http://schemas.openxmlformats.org/officeDocument/2006/relationships" cstate="print" r:embed="rId251"/>
        <a:stretch xmlns:a="http://schemas.openxmlformats.org/drawingml/2006/main">
          <a:fillRect/>
        </a:stretch>
      </blipFill>
      <spPr>
        <a:prstGeom xmlns:a="http://schemas.openxmlformats.org/drawingml/2006/main" prst="rect"/>
      </spPr>
    </pic>
    <clientData/>
  </oneCellAnchor>
  <oneCellAnchor>
    <from>
      <col>0</col>
      <colOff>0</colOff>
      <row>291</row>
      <rowOff>0</rowOff>
    </from>
    <ext cx="161925" cy="323850"/>
    <pic>
      <nvPicPr>
        <cNvPr id="252" name="Image 252" descr="Picture"/>
        <cNvPicPr/>
      </nvPicPr>
      <blipFill>
        <a:blip xmlns:a="http://schemas.openxmlformats.org/drawingml/2006/main" xmlns:r="http://schemas.openxmlformats.org/officeDocument/2006/relationships" cstate="print" r:embed="rId252"/>
        <a:stretch xmlns:a="http://schemas.openxmlformats.org/drawingml/2006/main">
          <a:fillRect/>
        </a:stretch>
      </blipFill>
      <spPr>
        <a:prstGeom xmlns:a="http://schemas.openxmlformats.org/drawingml/2006/main" prst="rect"/>
      </spPr>
    </pic>
    <clientData/>
  </oneCellAnchor>
  <oneCellAnchor>
    <from>
      <col>0</col>
      <colOff>0</colOff>
      <row>292</row>
      <rowOff>0</rowOff>
    </from>
    <ext cx="323850" cy="323850"/>
    <pic>
      <nvPicPr>
        <cNvPr id="253" name="Image 253" descr="Picture"/>
        <cNvPicPr/>
      </nvPicPr>
      <blipFill>
        <a:blip xmlns:a="http://schemas.openxmlformats.org/drawingml/2006/main" xmlns:r="http://schemas.openxmlformats.org/officeDocument/2006/relationships" cstate="print" r:embed="rId253"/>
        <a:stretch xmlns:a="http://schemas.openxmlformats.org/drawingml/2006/main">
          <a:fillRect/>
        </a:stretch>
      </blipFill>
      <spPr>
        <a:prstGeom xmlns:a="http://schemas.openxmlformats.org/drawingml/2006/main" prst="rect"/>
      </spPr>
    </pic>
    <clientData/>
  </oneCellAnchor>
  <oneCellAnchor>
    <from>
      <col>0</col>
      <colOff>0</colOff>
      <row>293</row>
      <rowOff>0</rowOff>
    </from>
    <ext cx="323850" cy="323850"/>
    <pic>
      <nvPicPr>
        <cNvPr id="254" name="Image 254" descr="Picture"/>
        <cNvPicPr/>
      </nvPicPr>
      <blipFill>
        <a:blip xmlns:a="http://schemas.openxmlformats.org/drawingml/2006/main" xmlns:r="http://schemas.openxmlformats.org/officeDocument/2006/relationships" cstate="print" r:embed="rId254"/>
        <a:stretch xmlns:a="http://schemas.openxmlformats.org/drawingml/2006/main">
          <a:fillRect/>
        </a:stretch>
      </blipFill>
      <spPr>
        <a:prstGeom xmlns:a="http://schemas.openxmlformats.org/drawingml/2006/main" prst="rect"/>
      </spPr>
    </pic>
    <clientData/>
  </oneCellAnchor>
  <oneCellAnchor>
    <from>
      <col>0</col>
      <colOff>0</colOff>
      <row>294</row>
      <rowOff>0</rowOff>
    </from>
    <ext cx="323850" cy="323850"/>
    <pic>
      <nvPicPr>
        <cNvPr id="255" name="Image 255" descr="Picture"/>
        <cNvPicPr/>
      </nvPicPr>
      <blipFill>
        <a:blip xmlns:a="http://schemas.openxmlformats.org/drawingml/2006/main" xmlns:r="http://schemas.openxmlformats.org/officeDocument/2006/relationships" cstate="print" r:embed="rId255"/>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12.xml.rels><Relationships xmlns="http://schemas.openxmlformats.org/package/2006/relationships"><Relationship Type="http://schemas.openxmlformats.org/officeDocument/2006/relationships/drawing" Target="/xl/drawings/drawing1.xml" Id="rId1"/></Relationships>
</file>

<file path=xl/worksheets/_rels/sheet15.xml.rels><Relationships xmlns="http://schemas.openxmlformats.org/package/2006/relationships"><Relationship Type="http://schemas.openxmlformats.org/officeDocument/2006/relationships/drawing" Target="/xl/drawings/drawing2.xml" Id="rId1"/></Relationships>
</file>

<file path=xl/worksheets/_rels/sheet16.xml.rels><Relationships xmlns="http://schemas.openxmlformats.org/package/2006/relationships"><Relationship Type="http://schemas.openxmlformats.org/officeDocument/2006/relationships/drawing" Target="/xl/drawings/drawing3.xml" Id="rId1"/></Relationships>
</file>

<file path=xl/worksheets/_rels/sheet17.xml.rels><Relationships xmlns="http://schemas.openxmlformats.org/package/2006/relationships"><Relationship Type="http://schemas.openxmlformats.org/officeDocument/2006/relationships/hyperlink" Target="https://mobalytics.gg/poe-2/builds/1-button-crossbow-amazon-mattjestic" TargetMode="External" Id="rId1"/><Relationship Type="http://schemas.openxmlformats.org/officeDocument/2006/relationships/hyperlink" Target="https://mobalytics.gg/poe-2/profile/mattjestic-multigaming/guides/new-0-4-ultra-rare-beast-companion-farming-guide" TargetMode="External" Id="rId2"/><Relationship Type="http://schemas.openxmlformats.org/officeDocument/2006/relationships/hyperlink" Target="https://mobalytics.gg/poe-2/builds/companion-huntress-league-starter" TargetMode="External" Id="rId3"/><Relationship Type="http://schemas.openxmlformats.org/officeDocument/2006/relationships/hyperlink" Target="https://mobalytics.gg/poe-2/builds/zoo-companion-huntress-imortilize" TargetMode="External" Id="rId4"/><Relationship Type="http://schemas.openxmlformats.org/officeDocument/2006/relationships/hyperlink" Target="https://maxroll.gg/poe2/build-guides/companion-spirit-walker-build-guide" TargetMode="External" Id="rId5"/><Relationship Type="http://schemas.openxmlformats.org/officeDocument/2006/relationships/hyperlink" Target="https://poe2db.tw/us/Spirit_Walker" TargetMode="External" Id="rId6"/><Relationship Type="http://schemas.openxmlformats.org/officeDocument/2006/relationships/hyperlink" Target="https://poe2db.tw/us/Darkness_Enthroned" TargetMode="External" Id="rId7"/><Relationship Type="http://schemas.openxmlformats.org/officeDocument/2006/relationships/hyperlink" Target="https://poe2db.tw/us/Trusted_Kinship" TargetMode="External" Id="rId8"/><Relationship Type="http://schemas.openxmlformats.org/officeDocument/2006/relationships/hyperlink" Target="https://poe.ninja/poe2/builds/forbiddenrites?class=Spirit%20Walker" TargetMode="External" Id="rId9"/><Relationship Type="http://schemas.openxmlformats.org/officeDocument/2006/relationships/hyperlink" Target="https://www.poe-vault.com/poe2/huntress/spirit-walker/tamed-boss-beast-build-guide" TargetMode="External" Id="rId10"/></Relationships>
</file>

<file path=xl/worksheets/sheet1.xml><?xml version="1.0" encoding="utf-8"?>
<worksheet xmlns="http://schemas.openxmlformats.org/spreadsheetml/2006/main">
  <sheetPr>
    <tabColor rgb="00C98E2B"/>
    <outlinePr summaryBelow="1" summaryRight="1"/>
    <pageSetUpPr/>
  </sheetPr>
  <dimension ref="A1:I42"/>
  <sheetViews>
    <sheetView showGridLines="0" zoomScale="100" workbookViewId="0">
      <pane ySplit="3" topLeftCell="A4"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ht="34" customHeight="1">
      <c r="A1" s="1" t="inlineStr">
        <is>
          <t>SPIRIT WALKER · ZOO CHOBER CHABER (rota Mattjestic) — Nível 1 → 100</t>
        </is>
      </c>
      <c r="B1" s="2" t="n"/>
      <c r="C1" s="2" t="n"/>
      <c r="D1" s="2" t="n"/>
      <c r="E1" s="2" t="n"/>
      <c r="F1" s="2" t="n"/>
      <c r="G1" s="2" t="n"/>
      <c r="H1" s="2" t="n"/>
      <c r="I1" s="2" t="n"/>
    </row>
    <row r="2" ht="30" customHeight="1">
      <c r="A2" s="3" t="inlineStr">
        <is>
          <t>PoE 2 0.5.5 · Liga Forbidden Rites · atualizado 15/09/2026 · rota barata com trade + opção completa. Edite só as células AMARELAS.</t>
        </is>
      </c>
      <c r="B2" s="2" t="n"/>
      <c r="C2" s="2" t="n"/>
      <c r="D2" s="2" t="n"/>
      <c r="E2" s="2" t="n"/>
      <c r="F2" s="2" t="n"/>
      <c r="G2" s="2" t="n"/>
      <c r="H2" s="2" t="n"/>
      <c r="I2" s="2" t="n"/>
    </row>
    <row r="4" ht="22" customHeight="1">
      <c r="A4" s="4" t="inlineStr">
        <is>
          <t>ONDE ESTOU AGORA</t>
        </is>
      </c>
      <c r="B4" s="5" t="n"/>
      <c r="C4" s="5" t="n"/>
      <c r="D4" s="5" t="n"/>
      <c r="E4" s="5" t="n"/>
      <c r="F4" s="5" t="n"/>
      <c r="G4" s="5" t="n"/>
      <c r="H4" s="5" t="n"/>
      <c r="I4" s="5" t="n"/>
    </row>
    <row r="5">
      <c r="A5" s="6" t="inlineStr">
        <is>
          <t>Seu nível atual</t>
        </is>
      </c>
      <c r="B5" s="7" t="n">
        <v>35</v>
      </c>
    </row>
    <row r="6">
      <c r="A6" s="6" t="inlineStr">
        <is>
          <t>Modo de investimento</t>
        </is>
      </c>
      <c r="B6" s="7" t="inlineStr">
        <is>
          <t>Barato</t>
        </is>
      </c>
    </row>
    <row r="7">
      <c r="A7" s="6" t="inlineStr">
        <is>
          <t>Spirit total (do jogo)</t>
        </is>
      </c>
      <c r="B7" s="7" t="n">
        <v>191</v>
      </c>
    </row>
    <row r="9" ht="20" customHeight="1">
      <c r="A9" s="8" t="inlineStr">
        <is>
          <t>Fase atual</t>
        </is>
      </c>
      <c r="B9" s="9">
        <f>INDEX(Listas!$B$2:$B$9,MATCH($B$5,Listas!$A$2:$A$9,1))</f>
        <v/>
      </c>
      <c r="C9" s="10" t="n"/>
      <c r="D9" s="10" t="n"/>
      <c r="E9" s="10" t="n"/>
      <c r="F9" s="10" t="n"/>
      <c r="G9" s="10" t="n"/>
      <c r="H9" s="10" t="n"/>
      <c r="I9" s="10" t="n"/>
    </row>
    <row r="10" ht="20" customHeight="1">
      <c r="A10" s="8" t="inlineStr">
        <is>
          <t>Etapa</t>
        </is>
      </c>
      <c r="B10" s="11">
        <f>INDEX(Listas!$E$2:$E$9,MATCH($B$5,Listas!$A$2:$A$9,1))</f>
        <v/>
      </c>
      <c r="C10" s="10" t="n"/>
      <c r="D10" s="10" t="n"/>
      <c r="E10" s="10" t="n"/>
      <c r="F10" s="10" t="n"/>
      <c r="G10" s="10" t="n"/>
      <c r="H10" s="10" t="n"/>
      <c r="I10" s="10" t="n"/>
    </row>
    <row r="11" ht="20" customHeight="1">
      <c r="A11" s="8" t="inlineStr">
        <is>
          <t>Quem carrega o dano</t>
        </is>
      </c>
      <c r="B11" s="11">
        <f>INDEX(Listas!$C$2:$C$9,MATCH($B$5,Listas!$A$2:$A$9,1))</f>
        <v/>
      </c>
      <c r="C11" s="10" t="n"/>
      <c r="D11" s="10" t="n"/>
      <c r="E11" s="10" t="n"/>
      <c r="F11" s="10" t="n"/>
      <c r="G11" s="10" t="n"/>
      <c r="H11" s="10" t="n"/>
      <c r="I11" s="10" t="n"/>
    </row>
    <row r="12" ht="30" customHeight="1">
      <c r="A12" s="8" t="inlineStr">
        <is>
          <t>Objetivo da fase</t>
        </is>
      </c>
      <c r="B12" s="11">
        <f>INDEX(Listas!$D$2:$D$9,MATCH($B$5,Listas!$A$2:$A$9,1))</f>
        <v/>
      </c>
      <c r="C12" s="10" t="n"/>
      <c r="D12" s="10" t="n"/>
      <c r="E12" s="10" t="n"/>
      <c r="F12" s="10" t="n"/>
      <c r="G12" s="10" t="n"/>
      <c r="H12" s="10" t="n"/>
      <c r="I12" s="10" t="n"/>
    </row>
    <row r="13" ht="30" customHeight="1">
      <c r="A13" s="8" t="inlineStr">
        <is>
          <t>Último marco (até seu nível)</t>
        </is>
      </c>
      <c r="B13" s="11">
        <f>IFERROR("Nv "&amp;INDEX('Nível 1-100'!$K$4:$K$103,$B$5)&amp;" — "&amp;INDEX('Nível 1-100'!$J$4:$J$103,$B$5),"")</f>
        <v/>
      </c>
      <c r="C13" s="10" t="n"/>
      <c r="D13" s="10" t="n"/>
      <c r="E13" s="10" t="n"/>
      <c r="F13" s="10" t="n"/>
      <c r="G13" s="10" t="n"/>
      <c r="H13" s="10" t="n"/>
      <c r="I13" s="10" t="n"/>
    </row>
    <row r="14" ht="30" customHeight="1">
      <c r="A14" s="8" t="inlineStr">
        <is>
          <t>Próximo marco</t>
        </is>
      </c>
      <c r="B14" s="11">
        <f>IFERROR("Nv "&amp;INDEX('Nível 1-100'!$A$4:$A$103,MATCH(1,'Nível 1-100'!$I$4:$I$103,0))&amp;" — "&amp;INDEX('Nível 1-100'!$C$4:$C$103,MATCH(1,'Nível 1-100'!$I$4:$I$103,0)),"Você chegou ao fim!")</f>
        <v/>
      </c>
      <c r="C14" s="10" t="n"/>
      <c r="D14" s="10" t="n"/>
      <c r="E14" s="10" t="n"/>
      <c r="F14" s="10" t="n"/>
      <c r="G14" s="10" t="n"/>
      <c r="H14" s="10" t="n"/>
      <c r="I14" s="10" t="n"/>
    </row>
    <row r="15" ht="30" customHeight="1">
      <c r="A15" s="8" t="inlineStr">
        <is>
          <t>Compra recomendada agora</t>
        </is>
      </c>
      <c r="B15" s="11">
        <f>IF($B$6="Barato",INDEX('Nível 1-100'!$E$4:$E$103,$B$5),INDEX('Nível 1-100'!$F$4:$F$103,$B$5))</f>
        <v/>
      </c>
      <c r="C15" s="10" t="n"/>
      <c r="D15" s="10" t="n"/>
      <c r="E15" s="10" t="n"/>
      <c r="F15" s="10" t="n"/>
      <c r="G15" s="10" t="n"/>
      <c r="H15" s="10" t="n"/>
      <c r="I15" s="10" t="n"/>
    </row>
    <row r="16" ht="20" customHeight="1">
      <c r="A16" s="8" t="inlineStr">
        <is>
          <t>Progresso de marcos</t>
        </is>
      </c>
      <c r="B16" s="12">
        <f>IFERROR(COUNTIF('Nível 1-100'!$G$4:$G$103,"Feito")/100,0)</f>
        <v/>
      </c>
      <c r="C16" s="10" t="n"/>
      <c r="D16" s="10" t="n"/>
      <c r="E16" s="10" t="n"/>
      <c r="F16" s="10" t="n"/>
      <c r="G16" s="10" t="n"/>
      <c r="H16" s="10" t="n"/>
      <c r="I16" s="10" t="n"/>
    </row>
    <row r="17" ht="20" customHeight="1">
      <c r="A17" s="8" t="inlineStr">
        <is>
          <t>Quests permanentes feitas</t>
        </is>
      </c>
      <c r="B17" s="11">
        <f>COUNTIF(Quests!$F$4:$F$32,"Feito")&amp;" de "&amp;COUNTA(Quests!$C$4:$C$32)</f>
        <v/>
      </c>
      <c r="C17" s="10" t="n"/>
      <c r="D17" s="10" t="n"/>
      <c r="E17" s="10" t="n"/>
      <c r="F17" s="10" t="n"/>
      <c r="G17" s="10" t="n"/>
      <c r="H17" s="10" t="n"/>
      <c r="I17" s="10" t="n"/>
    </row>
    <row r="19" ht="22" customHeight="1">
      <c r="A19" s="13" t="inlineStr">
        <is>
          <t>ROTA S-TIER — FASES (a linha dourada é a sua fase)</t>
        </is>
      </c>
      <c r="B19" s="14" t="n"/>
      <c r="C19" s="14" t="n"/>
      <c r="D19" s="14" t="n"/>
      <c r="E19" s="14" t="n"/>
      <c r="F19" s="14" t="n"/>
      <c r="G19" s="14" t="n"/>
      <c r="H19" s="14" t="n"/>
      <c r="I19" s="14" t="n"/>
    </row>
    <row r="20" ht="22" customHeight="1">
      <c r="A20" s="15" t="inlineStr">
        <is>
          <t>Fase</t>
        </is>
      </c>
      <c r="B20" s="15" t="inlineStr">
        <is>
          <t>Níveis</t>
        </is>
      </c>
      <c r="C20" s="15" t="inlineStr">
        <is>
          <t>Etapa</t>
        </is>
      </c>
      <c r="D20" s="15" t="inlineStr">
        <is>
          <t>Carry</t>
        </is>
      </c>
      <c r="E20" s="15" t="inlineStr">
        <is>
          <t>Dano player/zoo</t>
        </is>
      </c>
      <c r="F20" s="15" t="inlineStr">
        <is>
          <t>Ascendência</t>
        </is>
      </c>
      <c r="G20" s="15" t="inlineStr">
        <is>
          <t>Sai da fase quando…</t>
        </is>
      </c>
      <c r="H20" s="16" t="n"/>
      <c r="I20" s="17" t="n"/>
    </row>
    <row r="21" ht="44" customHeight="1">
      <c r="A21" s="18" t="inlineStr">
        <is>
          <t>Ato 1</t>
        </is>
      </c>
      <c r="B21" s="19" t="inlineStr">
        <is>
          <t>1–15</t>
        </is>
      </c>
      <c r="C21" s="19" t="inlineStr">
        <is>
          <t>Twister (leveling)</t>
        </is>
      </c>
      <c r="D21" s="19" t="inlineStr">
        <is>
          <t>Você: Twister + Whirling Slash</t>
        </is>
      </c>
      <c r="E21" s="19" t="inlineStr">
        <is>
          <t>100% / 0%</t>
        </is>
      </c>
      <c r="F21" s="19" t="inlineStr">
        <is>
          <t>—</t>
        </is>
      </c>
      <c r="G21" s="19" t="inlineStr">
        <is>
          <t>King in the Mists (+30 Spirit) · Candlemass (+20 vida) · Botas com MS · Nível ~16</t>
        </is>
      </c>
      <c r="H21" s="16" t="n"/>
      <c r="I21" s="17" t="n"/>
    </row>
    <row r="22" ht="44" customHeight="1">
      <c r="A22" s="18" t="inlineStr">
        <is>
          <t>Ato 2</t>
        </is>
      </c>
      <c r="B22" s="19" t="inlineStr">
        <is>
          <t>16–30</t>
        </is>
      </c>
      <c r="C22" s="19" t="inlineStr">
        <is>
          <t>1ª Ascendência</t>
        </is>
      </c>
      <c r="D22" s="19" t="inlineStr">
        <is>
          <t>Você: Twister + urso</t>
        </is>
      </c>
      <c r="E22" s="19" t="inlineStr">
        <is>
          <t>85% / 15%</t>
        </is>
      </c>
      <c r="F22" s="19" t="inlineStr">
        <is>
          <t>Wild Protector (Trial of the Sekhemas, Ato 2)</t>
        </is>
      </c>
      <c r="G22" s="19" t="inlineStr">
        <is>
          <t>1ª Ascendência: Wild Protector · Medallion (+1 Charm Slot) · Currency guardada para a troca</t>
        </is>
      </c>
      <c r="H22" s="16" t="n"/>
      <c r="I22" s="17" t="n"/>
    </row>
    <row r="23" ht="44" customHeight="1">
      <c r="A23" s="18" t="inlineStr">
        <is>
          <t>Ato 3</t>
        </is>
      </c>
      <c r="B23" s="19" t="inlineStr">
        <is>
          <t>31–45</t>
        </is>
      </c>
      <c r="C23" s="19" t="inlineStr">
        <is>
          <t>A troca: macaco + urso</t>
        </is>
      </c>
      <c r="D23" s="19" t="inlineStr">
        <is>
          <t>Mighty Silverfist (+ urso + 1 esqueleto)</t>
        </is>
      </c>
      <c r="E23" s="19" t="inlineStr">
        <is>
          <t>5% / 95%</t>
        </is>
      </c>
      <c r="F23" s="19" t="inlineStr">
        <is>
          <t>The Natural Order (Trial of Chaos, Ato 3)</t>
        </is>
      </c>
      <c r="G23" s="19" t="inlineStr">
        <is>
          <t>Silverfist capturado · Twister fora da barra · Pain Offering + Skeletal Warrior funcionando · Ignagduk (+30 Spirit)</t>
        </is>
      </c>
      <c r="H23" s="16" t="n"/>
      <c r="I23" s="17" t="n"/>
    </row>
    <row r="24" ht="44" customHeight="1">
      <c r="A24" s="18" t="inlineStr">
        <is>
          <t>Ato 4</t>
        </is>
      </c>
      <c r="B24" s="19" t="inlineStr">
        <is>
          <t>46–55</t>
        </is>
      </c>
      <c r="C24" s="19" t="inlineStr">
        <is>
          <t>2 companions + chaos</t>
        </is>
      </c>
      <c r="D24" s="19" t="inlineStr">
        <is>
          <t>Silverfist (+ aura bots)</t>
        </is>
      </c>
      <c r="E24" s="19" t="inlineStr">
        <is>
          <t>0% / 100%</t>
        </is>
      </c>
      <c r="F24" s="19" t="inlineStr">
        <is>
          <t>—</t>
        </is>
      </c>
      <c r="G24" s="19" t="inlineStr">
        <is>
          <t>2 companions (macaco + aura) · Evergrasping Ring ×2 + Withering Presence · Testes de resistência do Ato 4 feitos</t>
        </is>
      </c>
      <c r="H24" s="16" t="n"/>
      <c r="I24" s="17" t="n"/>
    </row>
    <row r="25" ht="44" customHeight="1">
      <c r="A25" s="18" t="inlineStr">
        <is>
          <t>Interlúdios</t>
        </is>
      </c>
      <c r="B25" s="19" t="inlineStr">
        <is>
          <t>56–64</t>
        </is>
      </c>
      <c r="C25" s="19" t="inlineStr">
        <is>
          <t>Esqueletos para o Muster</t>
        </is>
      </c>
      <c r="D25" s="19" t="inlineStr">
        <is>
          <t>Silverfist + zoo</t>
        </is>
      </c>
      <c r="E25" s="19" t="inlineStr">
        <is>
          <t>0% / 100%</t>
        </is>
      </c>
      <c r="F25" s="19" t="inlineStr">
        <is>
          <t>—</t>
        </is>
      </c>
      <c r="G25" s="19" t="inlineStr">
        <is>
          <t>2+ tipos de esqueleto (quantos couberem no Spirit) · Muster no macaco · Lythara (+40 Spirit) · Resists no cap</t>
        </is>
      </c>
      <c r="H25" s="16" t="n"/>
      <c r="I25" s="17" t="n"/>
    </row>
    <row r="26" ht="44" customHeight="1">
      <c r="A26" s="18" t="inlineStr">
        <is>
          <t>Início do Atlas</t>
        </is>
      </c>
      <c r="B26" s="19" t="inlineStr">
        <is>
          <t>65–77</t>
        </is>
      </c>
      <c r="C26" s="19" t="inlineStr">
        <is>
          <t>Catha's Balance + mapping</t>
        </is>
      </c>
      <c r="D26" s="19" t="inlineStr">
        <is>
          <t>Macaco (Silverfist/Zekoa) + zoo</t>
        </is>
      </c>
      <c r="E26" s="19" t="inlineStr">
        <is>
          <t>0% / 100%</t>
        </is>
      </c>
      <c r="F26" s="19" t="inlineStr">
        <is>
          <t>The Catha's Balance (Trial nível 60+)</t>
        </is>
      </c>
      <c r="G26" s="19" t="inlineStr">
        <is>
          <t>Catha's Balance · Chober Chaber equipada · T1–T10 sem mortes · Juntar ~1 div para o Effigy</t>
        </is>
      </c>
      <c r="H26" s="16" t="n"/>
      <c r="I26" s="17" t="n"/>
    </row>
    <row r="27" ht="44" customHeight="1">
      <c r="A27" s="18" t="inlineStr">
        <is>
          <t>T15+ (Effigy)</t>
        </is>
      </c>
      <c r="B27" s="19" t="inlineStr">
        <is>
          <t>78–89</t>
        </is>
      </c>
      <c r="C27" s="19" t="inlineStr">
        <is>
          <t>Chober + Giant's Blood + Effigy</t>
        </is>
      </c>
      <c r="D27" s="19" t="inlineStr">
        <is>
          <t>Zekoa + Azmerian Wolf + zoo</t>
        </is>
      </c>
      <c r="E27" s="19" t="inlineStr">
        <is>
          <t>0% / 100%</t>
        </is>
      </c>
      <c r="F27" s="19" t="inlineStr">
        <is>
          <t>Idolatry (Trial nível 75+)</t>
        </is>
      </c>
      <c r="G27" s="19" t="inlineStr">
        <is>
          <t>Giant's Blood + Chober + Effigy · Zekoa com Extra Crits/Haste · 3 aura bots (com Sylvan's Effigy) · Forgotten Warden + Spirit Vessel</t>
        </is>
      </c>
      <c r="H27" s="16" t="n"/>
      <c r="I27" s="17" t="n"/>
    </row>
    <row r="28" ht="44" customHeight="1">
      <c r="A28" s="18" t="inlineStr">
        <is>
          <t>Arbiter / Min-max</t>
        </is>
      </c>
      <c r="B28" s="19" t="inlineStr">
        <is>
          <t>90–100</t>
        </is>
      </c>
      <c r="C28" s="19" t="inlineStr">
        <is>
          <t>Mind Over Matter + 27 companions</t>
        </is>
      </c>
      <c r="D28" s="19" t="inlineStr">
        <is>
          <t>Zoo inteiro</t>
        </is>
      </c>
      <c r="E28" s="19" t="inlineStr">
        <is>
          <t>0% / 100%</t>
        </is>
      </c>
      <c r="F28" s="19" t="inlineStr">
        <is>
          <t>—</t>
        </is>
      </c>
      <c r="G28" s="19" t="inlineStr">
        <is>
          <t>Arbiter · Uber Arbiter</t>
        </is>
      </c>
      <c r="H28" s="16" t="n"/>
      <c r="I28" s="17" t="n"/>
    </row>
    <row r="30" ht="22" customHeight="1">
      <c r="A30" s="20" t="inlineStr">
        <is>
          <t>CORREÇÕES FEITAS NA PLANILHA ANTIGA</t>
        </is>
      </c>
      <c r="B30" s="21" t="n"/>
      <c r="C30" s="21" t="n"/>
      <c r="D30" s="21" t="n"/>
      <c r="E30" s="21" t="n"/>
      <c r="F30" s="21" t="n"/>
      <c r="G30" s="21" t="n"/>
      <c r="H30" s="21" t="n"/>
      <c r="I30" s="21" t="n"/>
    </row>
    <row r="31">
      <c r="A31" s="22" t="inlineStr">
        <is>
          <t>✔ Spirit Planner antigo somava a coluna errada (fórmulas deslocadas) — refeito com cálculo de eficiência.</t>
        </is>
      </c>
    </row>
    <row r="32">
      <c r="A32" s="22" t="inlineStr">
        <is>
          <t>✔ Darkness Enthroned estava como capacete — é um CINTO (Fine Belt).</t>
        </is>
      </c>
    </row>
    <row r="33">
      <c r="A33" s="22" t="inlineStr">
        <is>
          <t>✔ Trenchtimbre é maça de uma mão, não spear.</t>
        </is>
      </c>
    </row>
    <row r="34">
      <c r="A34" s="22" t="inlineStr">
        <is>
          <t>✔ Comparação de arma: com Catha's Balance vale dano por golpe, não pDPS.</t>
        </is>
      </c>
    </row>
    <row r="35">
      <c r="A35" s="22" t="inlineStr">
        <is>
          <t>✔ Linhas de nível repetiam o mesmo texto; agora cada nível tem o marco real e a tabela vai até o 100.</t>
        </is>
      </c>
    </row>
    <row r="36">
      <c r="A36" s="22" t="inlineStr">
        <is>
          <t>✔ Sylvan's Effigy é Stoic Sceptre (drop em área 78+).</t>
        </is>
      </c>
    </row>
    <row r="37">
      <c r="A37" s="22" t="inlineStr">
        <is>
          <t>✔ Guia base mandava tirar Trusted Kinship com o Effigy: o meta (99%) mantém.</t>
        </is>
      </c>
    </row>
    <row r="38">
      <c r="A38" s="22" t="inlineStr">
        <is>
          <t>✔ Effigy tratado como luxo: custa ~1 div na Forbidden Rites.</t>
        </is>
      </c>
    </row>
    <row r="39">
      <c r="A39" s="22" t="inlineStr">
        <is>
          <t>✔ Uniques do meta adicionados: Forgotten Warden, Chober Chaber, The Vertex, Treefingers, Alpha's Howl etc.</t>
        </is>
      </c>
    </row>
    <row r="40">
      <c r="A40" s="22" t="inlineStr">
        <is>
          <t>✔ Rota refeita em cima do guia do Mattjestic com foco na Chober Chaber.</t>
        </is>
      </c>
    </row>
    <row r="41">
      <c r="A41" s="22" t="inlineStr">
        <is>
          <t>✔ Ball Lightning/Lightning Warp removidos (nenhuma variante do Mattjestic usa).</t>
        </is>
      </c>
    </row>
    <row r="42">
      <c r="A42" s="22" t="inlineStr">
        <is>
          <t>✔ Corrigido: Pain Offering é central; Skeletal Cleric serve de alvo; Withering Presence vale com Evergrasping Ring.</t>
        </is>
      </c>
    </row>
  </sheetData>
  <mergeCells count="35">
    <mergeCell ref="A41:I41"/>
    <mergeCell ref="G28:I28"/>
    <mergeCell ref="A37:I37"/>
    <mergeCell ref="B16:I16"/>
    <mergeCell ref="B12:I12"/>
    <mergeCell ref="G24:I24"/>
    <mergeCell ref="A2:I2"/>
    <mergeCell ref="A33:I33"/>
    <mergeCell ref="B11:I11"/>
    <mergeCell ref="A42:I42"/>
    <mergeCell ref="A32:I32"/>
    <mergeCell ref="B14:I14"/>
    <mergeCell ref="G20:I20"/>
    <mergeCell ref="G26:I26"/>
    <mergeCell ref="A35:I35"/>
    <mergeCell ref="A4:I4"/>
    <mergeCell ref="A38:I38"/>
    <mergeCell ref="G25:I25"/>
    <mergeCell ref="B17:I17"/>
    <mergeCell ref="B13:I13"/>
    <mergeCell ref="A19:I19"/>
    <mergeCell ref="G22:I22"/>
    <mergeCell ref="B10:I10"/>
    <mergeCell ref="A40:I40"/>
    <mergeCell ref="A31:I31"/>
    <mergeCell ref="A39:I39"/>
    <mergeCell ref="A34:I34"/>
    <mergeCell ref="G21:I21"/>
    <mergeCell ref="A30:I30"/>
    <mergeCell ref="B9:I9"/>
    <mergeCell ref="B15:I15"/>
    <mergeCell ref="G27:I27"/>
    <mergeCell ref="A36:I36"/>
    <mergeCell ref="G23:I23"/>
    <mergeCell ref="A1:I1"/>
  </mergeCells>
  <conditionalFormatting sqref="B16">
    <cfRule type="dataBar" priority="1">
      <dataBar>
        <cfvo type="num" val="0"/>
        <cfvo type="num" val="1"/>
        <color rgb="003E9E86"/>
      </dataBar>
    </cfRule>
  </conditionalFormatting>
  <conditionalFormatting sqref="A21:I28">
    <cfRule type="expression" priority="2" dxfId="0">
      <formula>$A21=$B$9</formula>
    </cfRule>
  </conditionalFormatting>
  <dataValidations count="2">
    <dataValidation sqref="B5" showDropDown="0" showInputMessage="0" showErrorMessage="1" allowBlank="0" errorTitle="Nível" error="Digite um nível de 1 a 100." type="whole" operator="between">
      <formula1>1</formula1>
      <formula2>100</formula2>
    </dataValidation>
    <dataValidation sqref="B6" showDropDown="0" showInputMessage="0" showErrorMessage="0" allowBlank="0" type="list">
      <formula1>=Listas!$J$2:$J$3</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L9"/>
  <sheetViews>
    <sheetView zoomScale="100" workbookViewId="0">
      <selection activeCell="A1" sqref="A1"/>
    </sheetView>
  </sheetViews>
  <sheetFormatPr baseColWidth="8" defaultRowHeight="15"/>
  <sheetData>
    <row r="1">
      <c r="A1" t="inlineStr">
        <is>
          <t>Nível inicial</t>
        </is>
      </c>
      <c r="B1" t="inlineStr">
        <is>
          <t>Fase</t>
        </is>
      </c>
      <c r="C1" t="inlineStr">
        <is>
          <t>Carry</t>
        </is>
      </c>
      <c r="D1" t="inlineStr">
        <is>
          <t>Objetivo</t>
        </is>
      </c>
      <c r="E1" t="inlineStr">
        <is>
          <t>Tag</t>
        </is>
      </c>
      <c r="F1" t="inlineStr">
        <is>
          <t>Ascendência</t>
        </is>
      </c>
      <c r="H1" t="inlineStr">
        <is>
          <t>Status</t>
        </is>
      </c>
      <c r="I1" t="inlineStr">
        <is>
          <t>Sim/Não</t>
        </is>
      </c>
      <c r="J1" t="inlineStr">
        <is>
          <t>Modo</t>
        </is>
      </c>
      <c r="K1" t="inlineStr">
        <is>
          <t>Tipo</t>
        </is>
      </c>
      <c r="L1" t="inlineStr">
        <is>
          <t>Unidade</t>
        </is>
      </c>
    </row>
    <row r="2">
      <c r="A2" t="n">
        <v>1</v>
      </c>
      <c r="B2" t="inlineStr">
        <is>
          <t>Ato 1</t>
        </is>
      </c>
      <c r="C2" t="inlineStr">
        <is>
          <t>Você: Twister + Whirling Slash</t>
        </is>
      </c>
      <c r="D2" t="inlineStr">
        <is>
          <t>Subir rápido com Twister. Nada de minion ainda: o foco é chegar ao Ato 3 com dinheiro e nível para trocar para o macaco + Chober Chaber.</t>
        </is>
      </c>
      <c r="E2" t="inlineStr">
        <is>
          <t>Twister (leveling)</t>
        </is>
      </c>
      <c r="F2" t="inlineStr">
        <is>
          <t>—</t>
        </is>
      </c>
      <c r="H2" t="inlineStr">
        <is>
          <t>Pendente</t>
        </is>
      </c>
      <c r="I2" t="inlineStr">
        <is>
          <t>Sim</t>
        </is>
      </c>
      <c r="J2" t="inlineStr">
        <is>
          <t>Barato</t>
        </is>
      </c>
      <c r="K2" t="inlineStr">
        <is>
          <t>Companion</t>
        </is>
      </c>
      <c r="L2" t="inlineStr">
        <is>
          <t>%</t>
        </is>
      </c>
    </row>
    <row r="3">
      <c r="A3" t="n">
        <v>16</v>
      </c>
      <c r="B3" t="inlineStr">
        <is>
          <t>Ato 2</t>
        </is>
      </c>
      <c r="C3" t="inlineStr">
        <is>
          <t>Você: Twister + urso</t>
        </is>
      </c>
      <c r="D3" t="inlineStr">
        <is>
          <t>Wild Protector na 1ª Ascendência e juntar gold/currency para a troca do Ato 3 (Chober Chaber, The Vertex, Treefingers, Rattling Sceptre).</t>
        </is>
      </c>
      <c r="E3" t="inlineStr">
        <is>
          <t>1ª Ascendência</t>
        </is>
      </c>
      <c r="F3" t="inlineStr">
        <is>
          <t>Wild Protector (Trial of the Sekhemas, Ato 2)</t>
        </is>
      </c>
      <c r="H3" t="inlineStr">
        <is>
          <t>Fazendo</t>
        </is>
      </c>
      <c r="I3" t="inlineStr">
        <is>
          <t>Não</t>
        </is>
      </c>
      <c r="J3" t="inlineStr">
        <is>
          <t>Completo</t>
        </is>
      </c>
      <c r="K3" t="inlineStr">
        <is>
          <t>Outro</t>
        </is>
      </c>
      <c r="L3" t="inlineStr">
        <is>
          <t>Flat</t>
        </is>
      </c>
    </row>
    <row r="4">
      <c r="A4" t="n">
        <v>31</v>
      </c>
      <c r="B4" t="inlineStr">
        <is>
          <t>Ato 3</t>
        </is>
      </c>
      <c r="C4" t="inlineStr">
        <is>
          <t>Mighty Silverfist (+ urso + 1 esqueleto)</t>
        </is>
      </c>
      <c r="D4" t="inlineStr">
        <is>
          <t>Capturar o Mighty Silverfist com The Natural Order e trocar a build inteira para minions no mesmo dia: Twister sai, entram macaco, urso, 1 Skeletal Warrior e Pain Offering.</t>
        </is>
      </c>
      <c r="E4" t="inlineStr">
        <is>
          <t>A troca: macaco + urso</t>
        </is>
      </c>
      <c r="F4" t="inlineStr">
        <is>
          <t>The Natural Order (Trial of Chaos, Ato 3)</t>
        </is>
      </c>
      <c r="H4" t="inlineStr">
        <is>
          <t>Feito</t>
        </is>
      </c>
    </row>
    <row r="5">
      <c r="A5" t="n">
        <v>46</v>
      </c>
      <c r="B5" t="inlineStr">
        <is>
          <t>Ato 4</t>
        </is>
      </c>
      <c r="C5" t="inlineStr">
        <is>
          <t>Silverfist (+ aura bots)</t>
        </is>
      </c>
      <c r="D5" t="inlineStr">
        <is>
          <t>Macaco + 1 beast de aura (o limite do Trusted Kinship é 2 companions), marks e curse. Entram Evergrasping Ring (aliados ganham dano de chaos) e Withering Presence (inimigos recebem mais chaos): as duas peças se multiplicam.</t>
        </is>
      </c>
      <c r="E5" t="inlineStr">
        <is>
          <t>2 companions + chaos</t>
        </is>
      </c>
      <c r="F5" t="inlineStr">
        <is>
          <t>—</t>
        </is>
      </c>
    </row>
    <row r="6">
      <c r="A6" t="n">
        <v>56</v>
      </c>
      <c r="B6" t="inlineStr">
        <is>
          <t>Interlúdios</t>
        </is>
      </c>
      <c r="C6" t="inlineStr">
        <is>
          <t>Silverfist + zoo</t>
        </is>
      </c>
      <c r="D6" t="inlineStr">
        <is>
          <t>Depois do Lythara (+40 Spirit), somar TIPOS de esqueleto para o Muster, um por vez e só enquanto couber no Spirit: cada tipo diferente = +7% more dano no macaco, e o 2º esqueleto libera o Danse Macabre. Vulnerability tira Armour.</t>
        </is>
      </c>
      <c r="E6" t="inlineStr">
        <is>
          <t>Esqueletos para o Muster</t>
        </is>
      </c>
      <c r="F6" t="inlineStr">
        <is>
          <t>—</t>
        </is>
      </c>
    </row>
    <row r="7">
      <c r="A7" t="n">
        <v>65</v>
      </c>
      <c r="B7" t="inlineStr">
        <is>
          <t>Início do Atlas</t>
        </is>
      </c>
      <c r="C7" t="inlineStr">
        <is>
          <t>Macaco (Silverfist/Zekoa) + zoo</t>
        </is>
      </c>
      <c r="D7" t="inlineStr">
        <is>
          <t>The Catha's Balance transforma o dano da SUA arma em dano dos companions (60% por golpe). É aqui que a Chober Chaber vira o centro: maça de 2 mãos com dano base altíssimo, +Minion Skills e +50 Spirit.</t>
        </is>
      </c>
      <c r="E7" t="inlineStr">
        <is>
          <t>Catha's Balance + mapping</t>
        </is>
      </c>
      <c r="F7" t="inlineStr">
        <is>
          <t>The Catha's Balance (Trial nível 60+)</t>
        </is>
      </c>
    </row>
    <row r="8">
      <c r="A8" t="n">
        <v>78</v>
      </c>
      <c r="B8" t="inlineStr">
        <is>
          <t>T15+ (Effigy)</t>
        </is>
      </c>
      <c r="C8" t="inlineStr">
        <is>
          <t>Zekoa + Azmerian Wolf + zoo</t>
        </is>
      </c>
      <c r="D8" t="inlineStr">
        <is>
          <t>Giant's Blood na árvore (maça de 2 mãos + sceptre), Sylvan's Effigy (companions ilimitados + Azmerian Wolf), Forgotten Warden (Spirit Vessel grátis). Os esqueletos saem, porque o Rattling Sceptre dá lugar ao Effigy. O Skeletal Cleric vira o alvo do Pain Offering.</t>
        </is>
      </c>
      <c r="E8" t="inlineStr">
        <is>
          <t>Chober + Giant's Blood + Effigy</t>
        </is>
      </c>
      <c r="F8" t="inlineStr">
        <is>
          <t>Idolatry (Trial nível 75+)</t>
        </is>
      </c>
    </row>
    <row r="9">
      <c r="A9" t="n">
        <v>90</v>
      </c>
      <c r="B9" t="inlineStr">
        <is>
          <t>Arbiter / Min-max</t>
        </is>
      </c>
      <c r="C9" t="inlineStr">
        <is>
          <t>Zoo inteiro</t>
        </is>
      </c>
      <c r="D9" t="inlineStr">
        <is>
          <t>Endgame do Mattjestic: Mind Over Matter (dano sai da mana primeiro), Mageblood e até 27 companions. O macaco vira o único DPS 'puro'; os outros são aura bots super defensivos.</t>
        </is>
      </c>
      <c r="E9" t="inlineStr">
        <is>
          <t>Mind Over Matter + 27 companions</t>
        </is>
      </c>
      <c r="F9" t="inlineStr">
        <is>
          <t>—</t>
        </is>
      </c>
    </row>
  </sheetData>
  <pageMargins left="0.75" right="0.75" top="1" bottom="1" header="0.5" footer="0.5"/>
</worksheet>
</file>

<file path=xl/worksheets/sheet3.xml><?xml version="1.0" encoding="utf-8"?>
<worksheet xmlns="http://schemas.openxmlformats.org/spreadsheetml/2006/main">
  <sheetPr>
    <tabColor rgb="003E9E86"/>
    <outlinePr summaryBelow="1" summaryRight="1"/>
    <pageSetUpPr/>
  </sheetPr>
  <dimension ref="A1:K103"/>
  <sheetViews>
    <sheetView showGridLines="0" zoomScale="100" workbookViewId="0">
      <pane xSplit="2" ySplit="3" topLeftCell="C4" activePane="bottomRight" state="frozen"/>
      <selection pane="topRight"/>
      <selection pane="bottomLeft"/>
      <selection pane="bottomRight" activeCell="A1" sqref="A1"/>
    </sheetView>
  </sheetViews>
  <sheetFormatPr baseColWidth="8" defaultRowHeight="15"/>
  <cols>
    <col width="7" customWidth="1" min="1" max="1"/>
    <col width="16" customWidth="1" min="2" max="2"/>
    <col width="52" customWidth="1" min="3" max="3"/>
    <col width="40" customWidth="1" min="4" max="4"/>
    <col width="40" customWidth="1" min="5" max="5"/>
    <col width="40" customWidth="1" min="6" max="6"/>
    <col width="12" customWidth="1" min="7" max="7"/>
    <col width="22" customWidth="1" min="8" max="8"/>
    <col hidden="1" width="6" customWidth="1" min="9" max="9"/>
    <col hidden="1" width="13" customWidth="1" min="10" max="10"/>
    <col hidden="1" width="13" customWidth="1" min="11" max="11"/>
  </cols>
  <sheetData>
    <row r="1" ht="34" customHeight="1">
      <c r="A1" s="1" t="inlineStr">
        <is>
          <t>NÍVEL 1 → 100 — marco por nível</t>
        </is>
      </c>
      <c r="B1" s="2" t="n"/>
      <c r="C1" s="2" t="n"/>
      <c r="D1" s="2" t="n"/>
      <c r="E1" s="2" t="n"/>
      <c r="F1" s="2" t="n"/>
      <c r="G1" s="2" t="n"/>
      <c r="H1" s="2" t="n"/>
    </row>
    <row r="2" ht="30" customHeight="1">
      <c r="A2" s="3" t="inlineStr">
        <is>
          <t>Linhas com marco real em negrito. Marque Status = Feito. A linha do seu nível fica dourada (nível no INÍCIO).</t>
        </is>
      </c>
      <c r="B2" s="2" t="n"/>
      <c r="C2" s="2" t="n"/>
      <c r="D2" s="2" t="n"/>
      <c r="E2" s="2" t="n"/>
      <c r="F2" s="2" t="n"/>
      <c r="G2" s="2" t="n"/>
      <c r="H2" s="2" t="n"/>
    </row>
    <row r="3" ht="22" customHeight="1">
      <c r="A3" s="15" t="inlineStr">
        <is>
          <t>Nível</t>
        </is>
      </c>
      <c r="B3" s="15" t="inlineStr">
        <is>
          <t>Fase</t>
        </is>
      </c>
      <c r="C3" s="15" t="inlineStr">
        <is>
          <t>Faça agora (marco)</t>
        </is>
      </c>
      <c r="D3" s="15" t="inlineStr">
        <is>
          <t>Foco da fase</t>
        </is>
      </c>
      <c r="E3" s="15" t="inlineStr">
        <is>
          <t>Barato (trade)</t>
        </is>
      </c>
      <c r="F3" s="15" t="inlineStr">
        <is>
          <t>Completo (currency)</t>
        </is>
      </c>
      <c r="G3" s="15" t="inlineStr">
        <is>
          <t>Status</t>
        </is>
      </c>
      <c r="H3" s="15" t="inlineStr">
        <is>
          <t>Carry</t>
        </is>
      </c>
      <c r="I3" s="15" t="inlineStr">
        <is>
          <t>aux</t>
        </is>
      </c>
    </row>
    <row r="4" ht="79" customHeight="1">
      <c r="A4" s="23" t="n">
        <v>1</v>
      </c>
      <c r="B4" s="19" t="inlineStr">
        <is>
          <t>Ato 1</t>
        </is>
      </c>
      <c r="C4" s="18" t="inlineStr">
        <is>
          <t>Twister + Whirling Slash. Spear rare ou Splinter of Lorrata.</t>
        </is>
      </c>
      <c r="D4" s="19" t="inlineStr">
        <is>
          <t>Subir rápido com Twister. Nada de minion ainda: o foco é chegar ao Ato 3 com dinheiro e nível para trocar para o macaco + Chober Chaber.</t>
        </is>
      </c>
      <c r="E4" s="19" t="inlineStr">
        <is>
          <t>Rare spear com mais dano que cair</t>
        </is>
      </c>
      <c r="F4" s="19" t="inlineStr">
        <is>
          <t>Kit de uniques baratos do Mattjestic: Splinter of Lorrata → Skysliver (spear), Foxshade (body), 2× Blackheart (anéis), Goldrim (capacete), Wanderlust (botas), Meginord's Girdle, Surefooted Sigil</t>
        </is>
      </c>
      <c r="G4" s="23" t="inlineStr">
        <is>
          <t>Pendente</t>
        </is>
      </c>
      <c r="H4" s="19" t="inlineStr">
        <is>
          <t>Você: Twister + Whirling Slash</t>
        </is>
      </c>
      <c r="I4" s="24">
        <f>IF(AND(C4&lt;&gt;"—",A4&gt;INÍCIO!$B$5),1,0)</f>
        <v/>
      </c>
      <c r="J4">
        <f>C4</f>
        <v/>
      </c>
      <c r="K4">
        <f>A4</f>
        <v/>
      </c>
    </row>
    <row r="5" ht="34" customHeight="1">
      <c r="A5" s="25" t="n">
        <v>2</v>
      </c>
      <c r="B5" s="26" t="inlineStr">
        <is>
          <t>Ato 1</t>
        </is>
      </c>
      <c r="C5" s="26" t="inlineStr">
        <is>
          <t>—</t>
        </is>
      </c>
      <c r="D5" s="26" t="inlineStr">
        <is>
          <t>Movement Speed → Vida, Resistências, Dano da spear</t>
        </is>
      </c>
      <c r="E5" s="26" t="inlineStr">
        <is>
          <t>Botas com Movement Speed</t>
        </is>
      </c>
      <c r="F5" s="26" t="inlineStr">
        <is>
          <t>Todos custam poucos Exalts no trade e fazem o Ato 1–2 voar</t>
        </is>
      </c>
      <c r="G5" s="25" t="inlineStr">
        <is>
          <t>Pendente</t>
        </is>
      </c>
      <c r="H5" s="26" t="inlineStr">
        <is>
          <t>Você: Twister + Whirling Slash</t>
        </is>
      </c>
      <c r="I5" s="24">
        <f>IF(AND(C5&lt;&gt;"—",A5&gt;INÍCIO!$B$5),1,0)</f>
        <v/>
      </c>
      <c r="J5">
        <f>IF(C5&lt;&gt;"—",C5,J4)</f>
        <v/>
      </c>
      <c r="K5">
        <f>IF(C5&lt;&gt;"—",A5,K4)</f>
        <v/>
      </c>
    </row>
    <row r="6" ht="79" customHeight="1">
      <c r="A6" s="23" t="n">
        <v>3</v>
      </c>
      <c r="B6" s="19" t="inlineStr">
        <is>
          <t>Ato 1</t>
        </is>
      </c>
      <c r="C6" s="19" t="inlineStr">
        <is>
          <t>—</t>
        </is>
      </c>
      <c r="D6" s="19" t="inlineStr">
        <is>
          <t>Movement Speed → Vida, Resistências, Dano da spear</t>
        </is>
      </c>
      <c r="E6" s="19" t="inlineStr">
        <is>
          <t>Qualquer escudo/buckler com Evasion</t>
        </is>
      </c>
      <c r="F6" s="19" t="inlineStr">
        <is>
          <t>Kit de uniques baratos do Mattjestic: Splinter of Lorrata → Skysliver (spear), Foxshade (body), 2× Blackheart (anéis), Goldrim (capacete), Wanderlust (botas), Meginord's Girdle, Surefooted Sigil</t>
        </is>
      </c>
      <c r="G6" s="23" t="inlineStr">
        <is>
          <t>Pendente</t>
        </is>
      </c>
      <c r="H6" s="19" t="inlineStr">
        <is>
          <t>Você: Twister + Whirling Slash</t>
        </is>
      </c>
      <c r="I6" s="24">
        <f>IF(AND(C6&lt;&gt;"—",A6&gt;INÍCIO!$B$5),1,0)</f>
        <v/>
      </c>
      <c r="J6">
        <f>IF(C6&lt;&gt;"—",C6,J5)</f>
        <v/>
      </c>
      <c r="K6">
        <f>IF(C6&lt;&gt;"—",A6,K5)</f>
        <v/>
      </c>
    </row>
    <row r="7" ht="34" customHeight="1">
      <c r="A7" s="25" t="n">
        <v>4</v>
      </c>
      <c r="B7" s="26" t="inlineStr">
        <is>
          <t>Ato 1</t>
        </is>
      </c>
      <c r="C7" s="27" t="inlineStr">
        <is>
          <t>Twister liberado. Herald of Ice quando tiver Spirit.</t>
        </is>
      </c>
      <c r="D7" s="26" t="inlineStr">
        <is>
          <t>Movement Speed → Vida, Resistências, Dano da spear</t>
        </is>
      </c>
      <c r="E7" s="26" t="inlineStr">
        <is>
          <t>Rare spear com mais dano que cair</t>
        </is>
      </c>
      <c r="F7" s="26" t="inlineStr">
        <is>
          <t>Todos custam poucos Exalts no trade e fazem o Ato 1–2 voar</t>
        </is>
      </c>
      <c r="G7" s="25" t="inlineStr">
        <is>
          <t>Pendente</t>
        </is>
      </c>
      <c r="H7" s="26" t="inlineStr">
        <is>
          <t>Você: Twister + Whirling Slash</t>
        </is>
      </c>
      <c r="I7" s="24">
        <f>IF(AND(C7&lt;&gt;"—",A7&gt;INÍCIO!$B$5),1,0)</f>
        <v/>
      </c>
      <c r="J7">
        <f>IF(C7&lt;&gt;"—",C7,J6)</f>
        <v/>
      </c>
      <c r="K7">
        <f>IF(C7&lt;&gt;"—",A7,K6)</f>
        <v/>
      </c>
    </row>
    <row r="8" ht="79" customHeight="1">
      <c r="A8" s="23" t="n">
        <v>5</v>
      </c>
      <c r="B8" s="19" t="inlineStr">
        <is>
          <t>Ato 1</t>
        </is>
      </c>
      <c r="C8" s="19" t="inlineStr">
        <is>
          <t>—</t>
        </is>
      </c>
      <c r="D8" s="19" t="inlineStr">
        <is>
          <t>Movement Speed → Vida, Resistências, Dano da spear</t>
        </is>
      </c>
      <c r="E8" s="19" t="inlineStr">
        <is>
          <t>Botas com Movement Speed</t>
        </is>
      </c>
      <c r="F8" s="19" t="inlineStr">
        <is>
          <t>Kit de uniques baratos do Mattjestic: Splinter of Lorrata → Skysliver (spear), Foxshade (body), 2× Blackheart (anéis), Goldrim (capacete), Wanderlust (botas), Meginord's Girdle, Surefooted Sigil</t>
        </is>
      </c>
      <c r="G8" s="23" t="inlineStr">
        <is>
          <t>Pendente</t>
        </is>
      </c>
      <c r="H8" s="19" t="inlineStr">
        <is>
          <t>Você: Twister + Whirling Slash</t>
        </is>
      </c>
      <c r="I8" s="24">
        <f>IF(AND(C8&lt;&gt;"—",A8&gt;INÍCIO!$B$5),1,0)</f>
        <v/>
      </c>
      <c r="J8">
        <f>IF(C8&lt;&gt;"—",C8,J7)</f>
        <v/>
      </c>
      <c r="K8">
        <f>IF(C8&lt;&gt;"—",A8,K7)</f>
        <v/>
      </c>
    </row>
    <row r="9" ht="34" customHeight="1">
      <c r="A9" s="25" t="n">
        <v>6</v>
      </c>
      <c r="B9" s="26" t="inlineStr">
        <is>
          <t>Ato 1</t>
        </is>
      </c>
      <c r="C9" s="26" t="inlineStr">
        <is>
          <t>—</t>
        </is>
      </c>
      <c r="D9" s="26" t="inlineStr">
        <is>
          <t>Movement Speed → Vida, Resistências, Dano da spear</t>
        </is>
      </c>
      <c r="E9" s="26" t="inlineStr">
        <is>
          <t>Qualquer escudo/buckler com Evasion</t>
        </is>
      </c>
      <c r="F9" s="26" t="inlineStr">
        <is>
          <t>Todos custam poucos Exalts no trade e fazem o Ato 1–2 voar</t>
        </is>
      </c>
      <c r="G9" s="25" t="inlineStr">
        <is>
          <t>Pendente</t>
        </is>
      </c>
      <c r="H9" s="26" t="inlineStr">
        <is>
          <t>Você: Twister + Whirling Slash</t>
        </is>
      </c>
      <c r="I9" s="24">
        <f>IF(AND(C9&lt;&gt;"—",A9&gt;INÍCIO!$B$5),1,0)</f>
        <v/>
      </c>
      <c r="J9">
        <f>IF(C9&lt;&gt;"—",C9,J8)</f>
        <v/>
      </c>
      <c r="K9">
        <f>IF(C9&lt;&gt;"—",A9,K8)</f>
        <v/>
      </c>
    </row>
    <row r="10" ht="79" customHeight="1">
      <c r="A10" s="23" t="n">
        <v>7</v>
      </c>
      <c r="B10" s="19" t="inlineStr">
        <is>
          <t>Ato 1</t>
        </is>
      </c>
      <c r="C10" s="19" t="inlineStr">
        <is>
          <t>—</t>
        </is>
      </c>
      <c r="D10" s="19" t="inlineStr">
        <is>
          <t>Movement Speed → Vida, Resistências, Dano da spear</t>
        </is>
      </c>
      <c r="E10" s="19" t="inlineStr">
        <is>
          <t>Rare spear com mais dano que cair</t>
        </is>
      </c>
      <c r="F10" s="19" t="inlineStr">
        <is>
          <t>Kit de uniques baratos do Mattjestic: Splinter of Lorrata → Skysliver (spear), Foxshade (body), 2× Blackheart (anéis), Goldrim (capacete), Wanderlust (botas), Meginord's Girdle, Surefooted Sigil</t>
        </is>
      </c>
      <c r="G10" s="23" t="inlineStr">
        <is>
          <t>Pendente</t>
        </is>
      </c>
      <c r="H10" s="19" t="inlineStr">
        <is>
          <t>Você: Twister + Whirling Slash</t>
        </is>
      </c>
      <c r="I10" s="24">
        <f>IF(AND(C10&lt;&gt;"—",A10&gt;INÍCIO!$B$5),1,0)</f>
        <v/>
      </c>
      <c r="J10">
        <f>IF(C10&lt;&gt;"—",C10,J9)</f>
        <v/>
      </c>
      <c r="K10">
        <f>IF(C10&lt;&gt;"—",A10,K9)</f>
        <v/>
      </c>
    </row>
    <row r="11" ht="34" customHeight="1">
      <c r="A11" s="25" t="n">
        <v>8</v>
      </c>
      <c r="B11" s="26" t="inlineStr">
        <is>
          <t>Ato 1</t>
        </is>
      </c>
      <c r="C11" s="27" t="inlineStr">
        <is>
          <t>Hunting Grounds: The Crowbell (2 weapon set points).</t>
        </is>
      </c>
      <c r="D11" s="26" t="inlineStr">
        <is>
          <t>Movement Speed → Vida, Resistências, Dano da spear</t>
        </is>
      </c>
      <c r="E11" s="26" t="inlineStr">
        <is>
          <t>Botas com Movement Speed</t>
        </is>
      </c>
      <c r="F11" s="26" t="inlineStr">
        <is>
          <t>Todos custam poucos Exalts no trade e fazem o Ato 1–2 voar</t>
        </is>
      </c>
      <c r="G11" s="25" t="inlineStr">
        <is>
          <t>Pendente</t>
        </is>
      </c>
      <c r="H11" s="26" t="inlineStr">
        <is>
          <t>Você: Twister + Whirling Slash</t>
        </is>
      </c>
      <c r="I11" s="24">
        <f>IF(AND(C11&lt;&gt;"—",A11&gt;INÍCIO!$B$5),1,0)</f>
        <v/>
      </c>
      <c r="J11">
        <f>IF(C11&lt;&gt;"—",C11,J10)</f>
        <v/>
      </c>
      <c r="K11">
        <f>IF(C11&lt;&gt;"—",A11,K10)</f>
        <v/>
      </c>
    </row>
    <row r="12" ht="79" customHeight="1">
      <c r="A12" s="23" t="n">
        <v>9</v>
      </c>
      <c r="B12" s="19" t="inlineStr">
        <is>
          <t>Ato 1</t>
        </is>
      </c>
      <c r="C12" s="19" t="inlineStr">
        <is>
          <t>—</t>
        </is>
      </c>
      <c r="D12" s="19" t="inlineStr">
        <is>
          <t>Movement Speed → Vida, Resistências, Dano da spear</t>
        </is>
      </c>
      <c r="E12" s="19" t="inlineStr">
        <is>
          <t>Qualquer escudo/buckler com Evasion</t>
        </is>
      </c>
      <c r="F12" s="19" t="inlineStr">
        <is>
          <t>Kit de uniques baratos do Mattjestic: Splinter of Lorrata → Skysliver (spear), Foxshade (body), 2× Blackheart (anéis), Goldrim (capacete), Wanderlust (botas), Meginord's Girdle, Surefooted Sigil</t>
        </is>
      </c>
      <c r="G12" s="23" t="inlineStr">
        <is>
          <t>Pendente</t>
        </is>
      </c>
      <c r="H12" s="19" t="inlineStr">
        <is>
          <t>Você: Twister + Whirling Slash</t>
        </is>
      </c>
      <c r="I12" s="24">
        <f>IF(AND(C12&lt;&gt;"—",A12&gt;INÍCIO!$B$5),1,0)</f>
        <v/>
      </c>
      <c r="J12">
        <f>IF(C12&lt;&gt;"—",C12,J11)</f>
        <v/>
      </c>
      <c r="K12">
        <f>IF(C12&lt;&gt;"—",A12,K11)</f>
        <v/>
      </c>
    </row>
    <row r="13" ht="34" customHeight="1">
      <c r="A13" s="25" t="n">
        <v>10</v>
      </c>
      <c r="B13" s="26" t="inlineStr">
        <is>
          <t>Ato 1</t>
        </is>
      </c>
      <c r="C13" s="27" t="inlineStr">
        <is>
          <t>Freythorn: King in the Mists (+30 Spirit).</t>
        </is>
      </c>
      <c r="D13" s="26" t="inlineStr">
        <is>
          <t>Movement Speed → Vida, Resistências, Dano da spear</t>
        </is>
      </c>
      <c r="E13" s="26" t="inlineStr">
        <is>
          <t>Rare spear com mais dano que cair</t>
        </is>
      </c>
      <c r="F13" s="26" t="inlineStr">
        <is>
          <t>Todos custam poucos Exalts no trade e fazem o Ato 1–2 voar</t>
        </is>
      </c>
      <c r="G13" s="25" t="inlineStr">
        <is>
          <t>Pendente</t>
        </is>
      </c>
      <c r="H13" s="26" t="inlineStr">
        <is>
          <t>Você: Twister + Whirling Slash</t>
        </is>
      </c>
      <c r="I13" s="24">
        <f>IF(AND(C13&lt;&gt;"—",A13&gt;INÍCIO!$B$5),1,0)</f>
        <v/>
      </c>
      <c r="J13">
        <f>IF(C13&lt;&gt;"—",C13,J12)</f>
        <v/>
      </c>
      <c r="K13">
        <f>IF(C13&lt;&gt;"—",A13,K12)</f>
        <v/>
      </c>
    </row>
    <row r="14" ht="79" customHeight="1">
      <c r="A14" s="23" t="n">
        <v>11</v>
      </c>
      <c r="B14" s="19" t="inlineStr">
        <is>
          <t>Ato 1</t>
        </is>
      </c>
      <c r="C14" s="19" t="inlineStr">
        <is>
          <t>—</t>
        </is>
      </c>
      <c r="D14" s="19" t="inlineStr">
        <is>
          <t>Movement Speed → Vida, Resistências, Dano da spear</t>
        </is>
      </c>
      <c r="E14" s="19" t="inlineStr">
        <is>
          <t>Botas com Movement Speed</t>
        </is>
      </c>
      <c r="F14" s="19" t="inlineStr">
        <is>
          <t>Kit de uniques baratos do Mattjestic: Splinter of Lorrata → Skysliver (spear), Foxshade (body), 2× Blackheart (anéis), Goldrim (capacete), Wanderlust (botas), Meginord's Girdle, Surefooted Sigil</t>
        </is>
      </c>
      <c r="G14" s="23" t="inlineStr">
        <is>
          <t>Pendente</t>
        </is>
      </c>
      <c r="H14" s="19" t="inlineStr">
        <is>
          <t>Você: Twister + Whirling Slash</t>
        </is>
      </c>
      <c r="I14" s="24">
        <f>IF(AND(C14&lt;&gt;"—",A14&gt;INÍCIO!$B$5),1,0)</f>
        <v/>
      </c>
      <c r="J14">
        <f>IF(C14&lt;&gt;"—",C14,J13)</f>
        <v/>
      </c>
      <c r="K14">
        <f>IF(C14&lt;&gt;"—",A14,K13)</f>
        <v/>
      </c>
    </row>
    <row r="15" ht="34" customHeight="1">
      <c r="A15" s="25" t="n">
        <v>12</v>
      </c>
      <c r="B15" s="26" t="inlineStr">
        <is>
          <t>Ato 1</t>
        </is>
      </c>
      <c r="C15" s="26" t="inlineStr">
        <is>
          <t>—</t>
        </is>
      </c>
      <c r="D15" s="26" t="inlineStr">
        <is>
          <t>Movement Speed → Vida, Resistências, Dano da spear</t>
        </is>
      </c>
      <c r="E15" s="26" t="inlineStr">
        <is>
          <t>Qualquer escudo/buckler com Evasion</t>
        </is>
      </c>
      <c r="F15" s="26" t="inlineStr">
        <is>
          <t>Todos custam poucos Exalts no trade e fazem o Ato 1–2 voar</t>
        </is>
      </c>
      <c r="G15" s="25" t="inlineStr">
        <is>
          <t>Pendente</t>
        </is>
      </c>
      <c r="H15" s="26" t="inlineStr">
        <is>
          <t>Você: Twister + Whirling Slash</t>
        </is>
      </c>
      <c r="I15" s="24">
        <f>IF(AND(C15&lt;&gt;"—",A15&gt;INÍCIO!$B$5),1,0)</f>
        <v/>
      </c>
      <c r="J15">
        <f>IF(C15&lt;&gt;"—",C15,J14)</f>
        <v/>
      </c>
      <c r="K15">
        <f>IF(C15&lt;&gt;"—",A15,K14)</f>
        <v/>
      </c>
    </row>
    <row r="16" ht="79" customHeight="1">
      <c r="A16" s="23" t="n">
        <v>13</v>
      </c>
      <c r="B16" s="19" t="inlineStr">
        <is>
          <t>Ato 1</t>
        </is>
      </c>
      <c r="C16" s="19" t="inlineStr">
        <is>
          <t>—</t>
        </is>
      </c>
      <c r="D16" s="19" t="inlineStr">
        <is>
          <t>Movement Speed → Vida, Resistências, Dano da spear</t>
        </is>
      </c>
      <c r="E16" s="19" t="inlineStr">
        <is>
          <t>Rare spear com mais dano que cair</t>
        </is>
      </c>
      <c r="F16" s="19" t="inlineStr">
        <is>
          <t>Kit de uniques baratos do Mattjestic: Splinter of Lorrata → Skysliver (spear), Foxshade (body), 2× Blackheart (anéis), Goldrim (capacete), Wanderlust (botas), Meginord's Girdle, Surefooted Sigil</t>
        </is>
      </c>
      <c r="G16" s="23" t="inlineStr">
        <is>
          <t>Pendente</t>
        </is>
      </c>
      <c r="H16" s="19" t="inlineStr">
        <is>
          <t>Você: Twister + Whirling Slash</t>
        </is>
      </c>
      <c r="I16" s="24">
        <f>IF(AND(C16&lt;&gt;"—",A16&gt;INÍCIO!$B$5),1,0)</f>
        <v/>
      </c>
      <c r="J16">
        <f>IF(C16&lt;&gt;"—",C16,J15)</f>
        <v/>
      </c>
      <c r="K16">
        <f>IF(C16&lt;&gt;"—",A16,K15)</f>
        <v/>
      </c>
    </row>
    <row r="17" ht="34" customHeight="1">
      <c r="A17" s="25" t="n">
        <v>14</v>
      </c>
      <c r="B17" s="26" t="inlineStr">
        <is>
          <t>Ato 1</t>
        </is>
      </c>
      <c r="C17" s="27" t="inlineStr">
        <is>
          <t>Ogham Manor: Candlemass (+20 vida).</t>
        </is>
      </c>
      <c r="D17" s="26" t="inlineStr">
        <is>
          <t>Movement Speed → Vida, Resistências, Dano da spear</t>
        </is>
      </c>
      <c r="E17" s="26" t="inlineStr">
        <is>
          <t>Botas com Movement Speed</t>
        </is>
      </c>
      <c r="F17" s="26" t="inlineStr">
        <is>
          <t>Todos custam poucos Exalts no trade e fazem o Ato 1–2 voar</t>
        </is>
      </c>
      <c r="G17" s="25" t="inlineStr">
        <is>
          <t>Pendente</t>
        </is>
      </c>
      <c r="H17" s="26" t="inlineStr">
        <is>
          <t>Você: Twister + Whirling Slash</t>
        </is>
      </c>
      <c r="I17" s="24">
        <f>IF(AND(C17&lt;&gt;"—",A17&gt;INÍCIO!$B$5),1,0)</f>
        <v/>
      </c>
      <c r="J17">
        <f>IF(C17&lt;&gt;"—",C17,J16)</f>
        <v/>
      </c>
      <c r="K17">
        <f>IF(C17&lt;&gt;"—",A17,K16)</f>
        <v/>
      </c>
    </row>
    <row r="18" ht="79" customHeight="1">
      <c r="A18" s="23" t="n">
        <v>15</v>
      </c>
      <c r="B18" s="19" t="inlineStr">
        <is>
          <t>Ato 1</t>
        </is>
      </c>
      <c r="C18" s="19" t="inlineStr">
        <is>
          <t>—</t>
        </is>
      </c>
      <c r="D18" s="19" t="inlineStr">
        <is>
          <t>Movement Speed → Vida, Resistências, Dano da spear</t>
        </is>
      </c>
      <c r="E18" s="19" t="inlineStr">
        <is>
          <t>Qualquer escudo/buckler com Evasion</t>
        </is>
      </c>
      <c r="F18" s="19" t="inlineStr">
        <is>
          <t>Kit de uniques baratos do Mattjestic: Splinter of Lorrata → Skysliver (spear), Foxshade (body), 2× Blackheart (anéis), Goldrim (capacete), Wanderlust (botas), Meginord's Girdle, Surefooted Sigil</t>
        </is>
      </c>
      <c r="G18" s="23" t="inlineStr">
        <is>
          <t>Pendente</t>
        </is>
      </c>
      <c r="H18" s="19" t="inlineStr">
        <is>
          <t>Você: Twister + Whirling Slash</t>
        </is>
      </c>
      <c r="I18" s="24">
        <f>IF(AND(C18&lt;&gt;"—",A18&gt;INÍCIO!$B$5),1,0)</f>
        <v/>
      </c>
      <c r="J18">
        <f>IF(C18&lt;&gt;"—",C18,J17)</f>
        <v/>
      </c>
      <c r="K18">
        <f>IF(C18&lt;&gt;"—",A18,K17)</f>
        <v/>
      </c>
    </row>
    <row r="19" ht="49" customHeight="1">
      <c r="A19" s="25" t="n">
        <v>16</v>
      </c>
      <c r="B19" s="26" t="inlineStr">
        <is>
          <t>Ato 2</t>
        </is>
      </c>
      <c r="C19" s="27" t="inlineStr">
        <is>
          <t>Skysliver (spear) se for no modo completo.</t>
        </is>
      </c>
      <c r="D19" s="26" t="inlineStr">
        <is>
          <t>Wild Protector na 1ª Ascendência e juntar gold/currency para a troca do Ato 3 (Chober Chaber, The Vertex, Treefingers, Rattling Sceptre).</t>
        </is>
      </c>
      <c r="E19" s="26" t="inlineStr">
        <is>
          <t>Rare spear + botas com MS</t>
        </is>
      </c>
      <c r="F19" s="26" t="inlineStr">
        <is>
          <t>Skysliver (spear) · Foxshade · 2× Blackheart · Goldrim · Wanderlust · Surefooted Sigil · Meginord's Girdle</t>
        </is>
      </c>
      <c r="G19" s="25" t="inlineStr">
        <is>
          <t>Pendente</t>
        </is>
      </c>
      <c r="H19" s="26" t="inlineStr">
        <is>
          <t>Você: Twister + urso</t>
        </is>
      </c>
      <c r="I19" s="24">
        <f>IF(AND(C19&lt;&gt;"—",A19&gt;INÍCIO!$B$5),1,0)</f>
        <v/>
      </c>
      <c r="J19">
        <f>IF(C19&lt;&gt;"—",C19,J18)</f>
        <v/>
      </c>
      <c r="K19">
        <f>IF(C19&lt;&gt;"—",A19,K18)</f>
        <v/>
      </c>
    </row>
    <row r="20" ht="64" customHeight="1">
      <c r="A20" s="23" t="n">
        <v>17</v>
      </c>
      <c r="B20" s="19" t="inlineStr">
        <is>
          <t>Ato 2</t>
        </is>
      </c>
      <c r="C20" s="19" t="inlineStr">
        <is>
          <t>—</t>
        </is>
      </c>
      <c r="D20" s="19" t="inlineStr">
        <is>
          <t>Movement Speed → Vida, Resistências, Spirit</t>
        </is>
      </c>
      <c r="E20" s="19" t="inlineStr">
        <is>
          <t>Meginord's Girdle se faltar Strength</t>
        </is>
      </c>
      <c r="F20" s="19" t="inlineStr">
        <is>
          <t>Comece a guardar para: Chober Chaber (~2 ex), Treefingers (~5 ex), Rattling Sceptre (qualquer), The Vertex versão 'Equipment' (~0,4 div)</t>
        </is>
      </c>
      <c r="G20" s="23" t="inlineStr">
        <is>
          <t>Pendente</t>
        </is>
      </c>
      <c r="H20" s="19" t="inlineStr">
        <is>
          <t>Você: Twister + urso</t>
        </is>
      </c>
      <c r="I20" s="24">
        <f>IF(AND(C20&lt;&gt;"—",A20&gt;INÍCIO!$B$5),1,0)</f>
        <v/>
      </c>
      <c r="J20">
        <f>IF(C20&lt;&gt;"—",C20,J19)</f>
        <v/>
      </c>
      <c r="K20">
        <f>IF(C20&lt;&gt;"—",A20,K19)</f>
        <v/>
      </c>
    </row>
    <row r="21" ht="49" customHeight="1">
      <c r="A21" s="25" t="n">
        <v>18</v>
      </c>
      <c r="B21" s="26" t="inlineStr">
        <is>
          <t>Ato 2</t>
        </is>
      </c>
      <c r="C21" s="26" t="inlineStr">
        <is>
          <t>—</t>
        </is>
      </c>
      <c r="D21" s="26" t="inlineStr">
        <is>
          <t>Movement Speed → Vida, Resistências, Spirit</t>
        </is>
      </c>
      <c r="E21" s="26" t="inlineStr">
        <is>
          <t>Rare spear + botas com MS</t>
        </is>
      </c>
      <c r="F21" s="26" t="inlineStr">
        <is>
          <t>Skysliver (spear) · Foxshade · 2× Blackheart · Goldrim · Wanderlust · Surefooted Sigil · Meginord's Girdle</t>
        </is>
      </c>
      <c r="G21" s="25" t="inlineStr">
        <is>
          <t>Pendente</t>
        </is>
      </c>
      <c r="H21" s="26" t="inlineStr">
        <is>
          <t>Você: Twister + urso</t>
        </is>
      </c>
      <c r="I21" s="24">
        <f>IF(AND(C21&lt;&gt;"—",A21&gt;INÍCIO!$B$5),1,0)</f>
        <v/>
      </c>
      <c r="J21">
        <f>IF(C21&lt;&gt;"—",C21,J20)</f>
        <v/>
      </c>
      <c r="K21">
        <f>IF(C21&lt;&gt;"—",A21,K20)</f>
        <v/>
      </c>
    </row>
    <row r="22" ht="64" customHeight="1">
      <c r="A22" s="23" t="n">
        <v>19</v>
      </c>
      <c r="B22" s="19" t="inlineStr">
        <is>
          <t>Ato 2</t>
        </is>
      </c>
      <c r="C22" s="19" t="inlineStr">
        <is>
          <t>—</t>
        </is>
      </c>
      <c r="D22" s="19" t="inlineStr">
        <is>
          <t>Movement Speed → Vida, Resistências, Spirit</t>
        </is>
      </c>
      <c r="E22" s="19" t="inlineStr">
        <is>
          <t>Meginord's Girdle se faltar Strength</t>
        </is>
      </c>
      <c r="F22" s="19" t="inlineStr">
        <is>
          <t>Comece a guardar para: Chober Chaber (~2 ex), Treefingers (~5 ex), Rattling Sceptre (qualquer), The Vertex versão 'Equipment' (~0,4 div)</t>
        </is>
      </c>
      <c r="G22" s="23" t="inlineStr">
        <is>
          <t>Pendente</t>
        </is>
      </c>
      <c r="H22" s="19" t="inlineStr">
        <is>
          <t>Você: Twister + urso</t>
        </is>
      </c>
      <c r="I22" s="24">
        <f>IF(AND(C22&lt;&gt;"—",A22&gt;INÍCIO!$B$5),1,0)</f>
        <v/>
      </c>
      <c r="J22">
        <f>IF(C22&lt;&gt;"—",C22,J21)</f>
        <v/>
      </c>
      <c r="K22">
        <f>IF(C22&lt;&gt;"—",A22,K21)</f>
        <v/>
      </c>
    </row>
    <row r="23" ht="49" customHeight="1">
      <c r="A23" s="25" t="n">
        <v>20</v>
      </c>
      <c r="B23" s="26" t="inlineStr">
        <is>
          <t>Ato 2</t>
        </is>
      </c>
      <c r="C23" s="27" t="inlineStr">
        <is>
          <t>Trial of the Sekhemas → Wild Protector.</t>
        </is>
      </c>
      <c r="D23" s="26" t="inlineStr">
        <is>
          <t>Movement Speed → Vida, Resistências, Spirit</t>
        </is>
      </c>
      <c r="E23" s="26" t="inlineStr">
        <is>
          <t>Rare spear + botas com MS</t>
        </is>
      </c>
      <c r="F23" s="26" t="inlineStr">
        <is>
          <t>Skysliver (spear) · Foxshade · 2× Blackheart · Goldrim · Wanderlust · Surefooted Sigil · Meginord's Girdle</t>
        </is>
      </c>
      <c r="G23" s="25" t="inlineStr">
        <is>
          <t>Pendente</t>
        </is>
      </c>
      <c r="H23" s="26" t="inlineStr">
        <is>
          <t>Você: Twister + urso</t>
        </is>
      </c>
      <c r="I23" s="24">
        <f>IF(AND(C23&lt;&gt;"—",A23&gt;INÍCIO!$B$5),1,0)</f>
        <v/>
      </c>
      <c r="J23">
        <f>IF(C23&lt;&gt;"—",C23,J22)</f>
        <v/>
      </c>
      <c r="K23">
        <f>IF(C23&lt;&gt;"—",A23,K22)</f>
        <v/>
      </c>
    </row>
    <row r="24" ht="64" customHeight="1">
      <c r="A24" s="23" t="n">
        <v>21</v>
      </c>
      <c r="B24" s="19" t="inlineStr">
        <is>
          <t>Ato 2</t>
        </is>
      </c>
      <c r="C24" s="19" t="inlineStr">
        <is>
          <t>—</t>
        </is>
      </c>
      <c r="D24" s="19" t="inlineStr">
        <is>
          <t>Movement Speed → Vida, Resistências, Spirit</t>
        </is>
      </c>
      <c r="E24" s="19" t="inlineStr">
        <is>
          <t>Meginord's Girdle se faltar Strength</t>
        </is>
      </c>
      <c r="F24" s="19" t="inlineStr">
        <is>
          <t>Comece a guardar para: Chober Chaber (~2 ex), Treefingers (~5 ex), Rattling Sceptre (qualquer), The Vertex versão 'Equipment' (~0,4 div)</t>
        </is>
      </c>
      <c r="G24" s="23" t="inlineStr">
        <is>
          <t>Pendente</t>
        </is>
      </c>
      <c r="H24" s="19" t="inlineStr">
        <is>
          <t>Você: Twister + urso</t>
        </is>
      </c>
      <c r="I24" s="24">
        <f>IF(AND(C24&lt;&gt;"—",A24&gt;INÍCIO!$B$5),1,0)</f>
        <v/>
      </c>
      <c r="J24">
        <f>IF(C24&lt;&gt;"—",C24,J23)</f>
        <v/>
      </c>
      <c r="K24">
        <f>IF(C24&lt;&gt;"—",A24,K23)</f>
        <v/>
      </c>
    </row>
    <row r="25" ht="49" customHeight="1">
      <c r="A25" s="25" t="n">
        <v>22</v>
      </c>
      <c r="B25" s="26" t="inlineStr">
        <is>
          <t>Ato 2</t>
        </is>
      </c>
      <c r="C25" s="26" t="inlineStr">
        <is>
          <t>—</t>
        </is>
      </c>
      <c r="D25" s="26" t="inlineStr">
        <is>
          <t>Movement Speed → Vida, Resistências, Spirit</t>
        </is>
      </c>
      <c r="E25" s="26" t="inlineStr">
        <is>
          <t>Rare spear + botas com MS</t>
        </is>
      </c>
      <c r="F25" s="26" t="inlineStr">
        <is>
          <t>Skysliver (spear) · Foxshade · 2× Blackheart · Goldrim · Wanderlust · Surefooted Sigil · Meginord's Girdle</t>
        </is>
      </c>
      <c r="G25" s="25" t="inlineStr">
        <is>
          <t>Pendente</t>
        </is>
      </c>
      <c r="H25" s="26" t="inlineStr">
        <is>
          <t>Você: Twister + urso</t>
        </is>
      </c>
      <c r="I25" s="24">
        <f>IF(AND(C25&lt;&gt;"—",A25&gt;INÍCIO!$B$5),1,0)</f>
        <v/>
      </c>
      <c r="J25">
        <f>IF(C25&lt;&gt;"—",C25,J24)</f>
        <v/>
      </c>
      <c r="K25">
        <f>IF(C25&lt;&gt;"—",A25,K24)</f>
        <v/>
      </c>
    </row>
    <row r="26" ht="64" customHeight="1">
      <c r="A26" s="23" t="n">
        <v>23</v>
      </c>
      <c r="B26" s="19" t="inlineStr">
        <is>
          <t>Ato 2</t>
        </is>
      </c>
      <c r="C26" s="19" t="inlineStr">
        <is>
          <t>—</t>
        </is>
      </c>
      <c r="D26" s="19" t="inlineStr">
        <is>
          <t>Movement Speed → Vida, Resistências, Spirit</t>
        </is>
      </c>
      <c r="E26" s="19" t="inlineStr">
        <is>
          <t>Meginord's Girdle se faltar Strength</t>
        </is>
      </c>
      <c r="F26" s="19" t="inlineStr">
        <is>
          <t>Comece a guardar para: Chober Chaber (~2 ex), Treefingers (~5 ex), Rattling Sceptre (qualquer), The Vertex versão 'Equipment' (~0,4 div)</t>
        </is>
      </c>
      <c r="G26" s="23" t="inlineStr">
        <is>
          <t>Pendente</t>
        </is>
      </c>
      <c r="H26" s="19" t="inlineStr">
        <is>
          <t>Você: Twister + urso</t>
        </is>
      </c>
      <c r="I26" s="24">
        <f>IF(AND(C26&lt;&gt;"—",A26&gt;INÍCIO!$B$5),1,0)</f>
        <v/>
      </c>
      <c r="J26">
        <f>IF(C26&lt;&gt;"—",C26,J25)</f>
        <v/>
      </c>
      <c r="K26">
        <f>IF(C26&lt;&gt;"—",A26,K25)</f>
        <v/>
      </c>
    </row>
    <row r="27" ht="49" customHeight="1">
      <c r="A27" s="25" t="n">
        <v>24</v>
      </c>
      <c r="B27" s="26" t="inlineStr">
        <is>
          <t>Ato 2</t>
        </is>
      </c>
      <c r="C27" s="26" t="inlineStr">
        <is>
          <t>—</t>
        </is>
      </c>
      <c r="D27" s="26" t="inlineStr">
        <is>
          <t>Movement Speed → Vida, Resistências, Spirit</t>
        </is>
      </c>
      <c r="E27" s="26" t="inlineStr">
        <is>
          <t>Rare spear + botas com MS</t>
        </is>
      </c>
      <c r="F27" s="26" t="inlineStr">
        <is>
          <t>Skysliver (spear) · Foxshade · 2× Blackheart · Goldrim · Wanderlust · Surefooted Sigil · Meginord's Girdle</t>
        </is>
      </c>
      <c r="G27" s="25" t="inlineStr">
        <is>
          <t>Pendente</t>
        </is>
      </c>
      <c r="H27" s="26" t="inlineStr">
        <is>
          <t>Você: Twister + urso</t>
        </is>
      </c>
      <c r="I27" s="24">
        <f>IF(AND(C27&lt;&gt;"—",A27&gt;INÍCIO!$B$5),1,0)</f>
        <v/>
      </c>
      <c r="J27">
        <f>IF(C27&lt;&gt;"—",C27,J26)</f>
        <v/>
      </c>
      <c r="K27">
        <f>IF(C27&lt;&gt;"—",A27,K26)</f>
        <v/>
      </c>
    </row>
    <row r="28" ht="64" customHeight="1">
      <c r="A28" s="23" t="n">
        <v>25</v>
      </c>
      <c r="B28" s="19" t="inlineStr">
        <is>
          <t>Ato 2</t>
        </is>
      </c>
      <c r="C28" s="18" t="inlineStr">
        <is>
          <t>Valley of the Titans: Medallion (+1 Charm Slot).</t>
        </is>
      </c>
      <c r="D28" s="19" t="inlineStr">
        <is>
          <t>Movement Speed → Vida, Resistências, Spirit</t>
        </is>
      </c>
      <c r="E28" s="19" t="inlineStr">
        <is>
          <t>Meginord's Girdle se faltar Strength</t>
        </is>
      </c>
      <c r="F28" s="19" t="inlineStr">
        <is>
          <t>Comece a guardar para: Chober Chaber (~2 ex), Treefingers (~5 ex), Rattling Sceptre (qualquer), The Vertex versão 'Equipment' (~0,4 div)</t>
        </is>
      </c>
      <c r="G28" s="23" t="inlineStr">
        <is>
          <t>Pendente</t>
        </is>
      </c>
      <c r="H28" s="19" t="inlineStr">
        <is>
          <t>Você: Twister + urso</t>
        </is>
      </c>
      <c r="I28" s="24">
        <f>IF(AND(C28&lt;&gt;"—",A28&gt;INÍCIO!$B$5),1,0)</f>
        <v/>
      </c>
      <c r="J28">
        <f>IF(C28&lt;&gt;"—",C28,J27)</f>
        <v/>
      </c>
      <c r="K28">
        <f>IF(C28&lt;&gt;"—",A28,K27)</f>
        <v/>
      </c>
    </row>
    <row r="29" ht="49" customHeight="1">
      <c r="A29" s="25" t="n">
        <v>26</v>
      </c>
      <c r="B29" s="26" t="inlineStr">
        <is>
          <t>Ato 2</t>
        </is>
      </c>
      <c r="C29" s="26" t="inlineStr">
        <is>
          <t>—</t>
        </is>
      </c>
      <c r="D29" s="26" t="inlineStr">
        <is>
          <t>Movement Speed → Vida, Resistências, Spirit</t>
        </is>
      </c>
      <c r="E29" s="26" t="inlineStr">
        <is>
          <t>Rare spear + botas com MS</t>
        </is>
      </c>
      <c r="F29" s="26" t="inlineStr">
        <is>
          <t>Skysliver (spear) · Foxshade · 2× Blackheart · Goldrim · Wanderlust · Surefooted Sigil · Meginord's Girdle</t>
        </is>
      </c>
      <c r="G29" s="25" t="inlineStr">
        <is>
          <t>Pendente</t>
        </is>
      </c>
      <c r="H29" s="26" t="inlineStr">
        <is>
          <t>Você: Twister + urso</t>
        </is>
      </c>
      <c r="I29" s="24">
        <f>IF(AND(C29&lt;&gt;"—",A29&gt;INÍCIO!$B$5),1,0)</f>
        <v/>
      </c>
      <c r="J29">
        <f>IF(C29&lt;&gt;"—",C29,J28)</f>
        <v/>
      </c>
      <c r="K29">
        <f>IF(C29&lt;&gt;"—",A29,K28)</f>
        <v/>
      </c>
    </row>
    <row r="30" ht="64" customHeight="1">
      <c r="A30" s="23" t="n">
        <v>27</v>
      </c>
      <c r="B30" s="19" t="inlineStr">
        <is>
          <t>Ato 2</t>
        </is>
      </c>
      <c r="C30" s="19" t="inlineStr">
        <is>
          <t>—</t>
        </is>
      </c>
      <c r="D30" s="19" t="inlineStr">
        <is>
          <t>Movement Speed → Vida, Resistências, Spirit</t>
        </is>
      </c>
      <c r="E30" s="19" t="inlineStr">
        <is>
          <t>Meginord's Girdle se faltar Strength</t>
        </is>
      </c>
      <c r="F30" s="19" t="inlineStr">
        <is>
          <t>Comece a guardar para: Chober Chaber (~2 ex), Treefingers (~5 ex), Rattling Sceptre (qualquer), The Vertex versão 'Equipment' (~0,4 div)</t>
        </is>
      </c>
      <c r="G30" s="23" t="inlineStr">
        <is>
          <t>Pendente</t>
        </is>
      </c>
      <c r="H30" s="19" t="inlineStr">
        <is>
          <t>Você: Twister + urso</t>
        </is>
      </c>
      <c r="I30" s="24">
        <f>IF(AND(C30&lt;&gt;"—",A30&gt;INÍCIO!$B$5),1,0)</f>
        <v/>
      </c>
      <c r="J30">
        <f>IF(C30&lt;&gt;"—",C30,J29)</f>
        <v/>
      </c>
      <c r="K30">
        <f>IF(C30&lt;&gt;"—",A30,K29)</f>
        <v/>
      </c>
    </row>
    <row r="31" ht="49" customHeight="1">
      <c r="A31" s="25" t="n">
        <v>28</v>
      </c>
      <c r="B31" s="26" t="inlineStr">
        <is>
          <t>Ato 2</t>
        </is>
      </c>
      <c r="C31" s="27" t="inlineStr">
        <is>
          <t>Comece a guardar currency para a troca do Ato 3.</t>
        </is>
      </c>
      <c r="D31" s="26" t="inlineStr">
        <is>
          <t>Movement Speed → Vida, Resistências, Spirit</t>
        </is>
      </c>
      <c r="E31" s="26" t="inlineStr">
        <is>
          <t>Rare spear + botas com MS</t>
        </is>
      </c>
      <c r="F31" s="26" t="inlineStr">
        <is>
          <t>Skysliver (spear) · Foxshade · 2× Blackheart · Goldrim · Wanderlust · Surefooted Sigil · Meginord's Girdle</t>
        </is>
      </c>
      <c r="G31" s="25" t="inlineStr">
        <is>
          <t>Pendente</t>
        </is>
      </c>
      <c r="H31" s="26" t="inlineStr">
        <is>
          <t>Você: Twister + urso</t>
        </is>
      </c>
      <c r="I31" s="24">
        <f>IF(AND(C31&lt;&gt;"—",A31&gt;INÍCIO!$B$5),1,0)</f>
        <v/>
      </c>
      <c r="J31">
        <f>IF(C31&lt;&gt;"—",C31,J30)</f>
        <v/>
      </c>
      <c r="K31">
        <f>IF(C31&lt;&gt;"—",A31,K30)</f>
        <v/>
      </c>
    </row>
    <row r="32" ht="64" customHeight="1">
      <c r="A32" s="23" t="n">
        <v>29</v>
      </c>
      <c r="B32" s="19" t="inlineStr">
        <is>
          <t>Ato 2</t>
        </is>
      </c>
      <c r="C32" s="19" t="inlineStr">
        <is>
          <t>—</t>
        </is>
      </c>
      <c r="D32" s="19" t="inlineStr">
        <is>
          <t>Movement Speed → Vida, Resistências, Spirit</t>
        </is>
      </c>
      <c r="E32" s="19" t="inlineStr">
        <is>
          <t>Meginord's Girdle se faltar Strength</t>
        </is>
      </c>
      <c r="F32" s="19" t="inlineStr">
        <is>
          <t>Comece a guardar para: Chober Chaber (~2 ex), Treefingers (~5 ex), Rattling Sceptre (qualquer), The Vertex versão 'Equipment' (~0,4 div)</t>
        </is>
      </c>
      <c r="G32" s="23" t="inlineStr">
        <is>
          <t>Pendente</t>
        </is>
      </c>
      <c r="H32" s="19" t="inlineStr">
        <is>
          <t>Você: Twister + urso</t>
        </is>
      </c>
      <c r="I32" s="24">
        <f>IF(AND(C32&lt;&gt;"—",A32&gt;INÍCIO!$B$5),1,0)</f>
        <v/>
      </c>
      <c r="J32">
        <f>IF(C32&lt;&gt;"—",C32,J31)</f>
        <v/>
      </c>
      <c r="K32">
        <f>IF(C32&lt;&gt;"—",A32,K31)</f>
        <v/>
      </c>
    </row>
    <row r="33" ht="49" customHeight="1">
      <c r="A33" s="25" t="n">
        <v>30</v>
      </c>
      <c r="B33" s="26" t="inlineStr">
        <is>
          <t>Ato 2</t>
        </is>
      </c>
      <c r="C33" s="27" t="inlineStr">
        <is>
          <t>Compre: Rattling Sceptre + Trenchtimbre (barato) ou Chober Chaber + Treefingers + The Vertex (completo).</t>
        </is>
      </c>
      <c r="D33" s="26" t="inlineStr">
        <is>
          <t>Movement Speed → Vida, Resistências, Spirit</t>
        </is>
      </c>
      <c r="E33" s="26" t="inlineStr">
        <is>
          <t>Rare spear + botas com MS</t>
        </is>
      </c>
      <c r="F33" s="26" t="inlineStr">
        <is>
          <t>Skysliver (spear) · Foxshade · 2× Blackheart · Goldrim · Wanderlust · Surefooted Sigil · Meginord's Girdle</t>
        </is>
      </c>
      <c r="G33" s="25" t="inlineStr">
        <is>
          <t>Pendente</t>
        </is>
      </c>
      <c r="H33" s="26" t="inlineStr">
        <is>
          <t>Você: Twister + urso</t>
        </is>
      </c>
      <c r="I33" s="24">
        <f>IF(AND(C33&lt;&gt;"—",A33&gt;INÍCIO!$B$5),1,0)</f>
        <v/>
      </c>
      <c r="J33">
        <f>IF(C33&lt;&gt;"—",C33,J32)</f>
        <v/>
      </c>
      <c r="K33">
        <f>IF(C33&lt;&gt;"—",A33,K32)</f>
        <v/>
      </c>
    </row>
    <row r="34" ht="34" customHeight="1">
      <c r="A34" s="23" t="n">
        <v>31</v>
      </c>
      <c r="B34" s="19" t="inlineStr">
        <is>
          <t>Ato 3</t>
        </is>
      </c>
      <c r="C34" s="19" t="inlineStr">
        <is>
          <t>—</t>
        </is>
      </c>
      <c r="D34" s="19" t="inlineStr">
        <is>
          <t>Capturar o Mighty Silverfist com The Natural Order e trocar a build inteira para minions no mesmo dia: Twister sai, entram macaco, urso, 1 Skeletal Warrior e Pain Offering.</t>
        </is>
      </c>
      <c r="E34" s="19" t="inlineStr">
        <is>
          <t>Rattling Sceptre (main) + Trenchtimbre (offhand) — exatamente como o Mattjestic</t>
        </is>
      </c>
      <c r="F34" s="19" t="inlineStr">
        <is>
          <t>Chober Chaber + Rattling Sceptre (com Treefingers dando Giant's Blood)</t>
        </is>
      </c>
      <c r="G34" s="23" t="inlineStr">
        <is>
          <t>Pendente</t>
        </is>
      </c>
      <c r="H34" s="19" t="inlineStr">
        <is>
          <t>Mighty Silverfist (+ urso + 1 esqueleto)</t>
        </is>
      </c>
      <c r="I34" s="24">
        <f>IF(AND(C34&lt;&gt;"—",A34&gt;INÍCIO!$B$5),1,0)</f>
        <v/>
      </c>
      <c r="J34">
        <f>IF(C34&lt;&gt;"—",C34,J33)</f>
        <v/>
      </c>
      <c r="K34">
        <f>IF(C34&lt;&gt;"—",A34,K33)</f>
        <v/>
      </c>
    </row>
    <row r="35" ht="49" customHeight="1">
      <c r="A35" s="25" t="n">
        <v>32</v>
      </c>
      <c r="B35" s="26" t="inlineStr">
        <is>
          <t>Ato 3</t>
        </is>
      </c>
      <c r="C35" s="27" t="inlineStr">
        <is>
          <t>Jungle Ruins: NÃO mate o Silverfist ainda.</t>
        </is>
      </c>
      <c r="D35" s="26" t="inlineStr">
        <is>
          <t>+Minion Skills → Spirit, Movement Speed, Vida</t>
        </is>
      </c>
      <c r="E35" s="26" t="inlineStr">
        <is>
          <t>Midnight Braid (cinto) · Foxshade/Wanderlust/Blackheart mantidos</t>
        </is>
      </c>
      <c r="F35" s="26" t="inlineStr">
        <is>
          <t>The Vertex versão 'Equipment has no Attribute Requirements' para zerar os requisitos triplicados</t>
        </is>
      </c>
      <c r="G35" s="25" t="inlineStr">
        <is>
          <t>Pendente</t>
        </is>
      </c>
      <c r="H35" s="26" t="inlineStr">
        <is>
          <t>Mighty Silverfist (+ urso + 1 esqueleto)</t>
        </is>
      </c>
      <c r="I35" s="24">
        <f>IF(AND(C35&lt;&gt;"—",A35&gt;INÍCIO!$B$5),1,0)</f>
        <v/>
      </c>
      <c r="J35">
        <f>IF(C35&lt;&gt;"—",C35,J34)</f>
        <v/>
      </c>
      <c r="K35">
        <f>IF(C35&lt;&gt;"—",A35,K34)</f>
        <v/>
      </c>
    </row>
    <row r="36" ht="34" customHeight="1">
      <c r="A36" s="23" t="n">
        <v>33</v>
      </c>
      <c r="B36" s="19" t="inlineStr">
        <is>
          <t>Ato 3</t>
        </is>
      </c>
      <c r="C36" s="18" t="inlineStr">
        <is>
          <t>Trial of Chaos → The Natural Order.</t>
        </is>
      </c>
      <c r="D36" s="19" t="inlineStr">
        <is>
          <t>+Minion Skills → Spirit, Movement Speed, Vida</t>
        </is>
      </c>
      <c r="E36" s="19" t="inlineStr">
        <is>
          <t>Meginord's Girdle se faltar Strength</t>
        </is>
      </c>
      <c r="F36" s="19" t="inlineStr">
        <is>
          <t>Enfolding Dawn (+100 Spirit no body) para caber mais minions</t>
        </is>
      </c>
      <c r="G36" s="23" t="inlineStr">
        <is>
          <t>Pendente</t>
        </is>
      </c>
      <c r="H36" s="19" t="inlineStr">
        <is>
          <t>Mighty Silverfist (+ urso + 1 esqueleto)</t>
        </is>
      </c>
      <c r="I36" s="24">
        <f>IF(AND(C36&lt;&gt;"—",A36&gt;INÍCIO!$B$5),1,0)</f>
        <v/>
      </c>
      <c r="J36">
        <f>IF(C36&lt;&gt;"—",C36,J35)</f>
        <v/>
      </c>
      <c r="K36">
        <f>IF(C36&lt;&gt;"—",A36,K35)</f>
        <v/>
      </c>
    </row>
    <row r="37" ht="34" customHeight="1">
      <c r="A37" s="25" t="n">
        <v>34</v>
      </c>
      <c r="B37" s="26" t="inlineStr">
        <is>
          <t>Ato 3</t>
        </is>
      </c>
      <c r="C37" s="27" t="inlineStr">
        <is>
          <t>Capture o Mighty Silverfist. Respec completo para minion.</t>
        </is>
      </c>
      <c r="D37" s="26" t="inlineStr">
        <is>
          <t>+Minion Skills → Spirit, Movement Speed, Vida</t>
        </is>
      </c>
      <c r="E37" s="26" t="inlineStr">
        <is>
          <t>Rattling Sceptre (main) + Trenchtimbre (offhand) — exatamente como o Mattjestic</t>
        </is>
      </c>
      <c r="F37" s="26" t="inlineStr">
        <is>
          <t>Chober Chaber + Rattling Sceptre (com Treefingers dando Giant's Blood)</t>
        </is>
      </c>
      <c r="G37" s="25" t="inlineStr">
        <is>
          <t>Pendente</t>
        </is>
      </c>
      <c r="H37" s="26" t="inlineStr">
        <is>
          <t>Mighty Silverfist (+ urso + 1 esqueleto)</t>
        </is>
      </c>
      <c r="I37" s="24">
        <f>IF(AND(C37&lt;&gt;"—",A37&gt;INÍCIO!$B$5),1,0)</f>
        <v/>
      </c>
      <c r="J37">
        <f>IF(C37&lt;&gt;"—",C37,J36)</f>
        <v/>
      </c>
      <c r="K37">
        <f>IF(C37&lt;&gt;"—",A37,K36)</f>
        <v/>
      </c>
    </row>
    <row r="38" ht="49" customHeight="1">
      <c r="A38" s="23" t="n">
        <v>35</v>
      </c>
      <c r="B38" s="19" t="inlineStr">
        <is>
          <t>Ato 3</t>
        </is>
      </c>
      <c r="C38" s="18" t="inlineStr">
        <is>
          <t>TROCA: tire Twister/Whirling. Entram 1 Skeletal Warrior (alvo do Pain Offering) + Pain Offering + Unearth.</t>
        </is>
      </c>
      <c r="D38" s="19" t="inlineStr">
        <is>
          <t>+Minion Skills → Spirit, Movement Speed, Vida</t>
        </is>
      </c>
      <c r="E38" s="19" t="inlineStr">
        <is>
          <t>Midnight Braid (cinto) · Foxshade/Wanderlust/Blackheart mantidos</t>
        </is>
      </c>
      <c r="F38" s="19" t="inlineStr">
        <is>
          <t>The Vertex versão 'Equipment has no Attribute Requirements' para zerar os requisitos triplicados</t>
        </is>
      </c>
      <c r="G38" s="23" t="inlineStr">
        <is>
          <t>Pendente</t>
        </is>
      </c>
      <c r="H38" s="19" t="inlineStr">
        <is>
          <t>Mighty Silverfist (+ urso + 1 esqueleto)</t>
        </is>
      </c>
      <c r="I38" s="24">
        <f>IF(AND(C38&lt;&gt;"—",A38&gt;INÍCIO!$B$5),1,0)</f>
        <v/>
      </c>
      <c r="J38">
        <f>IF(C38&lt;&gt;"—",C38,J37)</f>
        <v/>
      </c>
      <c r="K38">
        <f>IF(C38&lt;&gt;"—",A38,K37)</f>
        <v/>
      </c>
    </row>
    <row r="39" ht="34" customHeight="1">
      <c r="A39" s="25" t="n">
        <v>36</v>
      </c>
      <c r="B39" s="26" t="inlineStr">
        <is>
          <t>Ato 3</t>
        </is>
      </c>
      <c r="C39" s="26" t="inlineStr">
        <is>
          <t>—</t>
        </is>
      </c>
      <c r="D39" s="26" t="inlineStr">
        <is>
          <t>+Minion Skills → Spirit, Movement Speed, Vida</t>
        </is>
      </c>
      <c r="E39" s="26" t="inlineStr">
        <is>
          <t>Meginord's Girdle se faltar Strength</t>
        </is>
      </c>
      <c r="F39" s="26" t="inlineStr">
        <is>
          <t>Enfolding Dawn (+100 Spirit no body) para caber mais minions</t>
        </is>
      </c>
      <c r="G39" s="25" t="inlineStr">
        <is>
          <t>Pendente</t>
        </is>
      </c>
      <c r="H39" s="26" t="inlineStr">
        <is>
          <t>Mighty Silverfist (+ urso + 1 esqueleto)</t>
        </is>
      </c>
      <c r="I39" s="24">
        <f>IF(AND(C39&lt;&gt;"—",A39&gt;INÍCIO!$B$5),1,0)</f>
        <v/>
      </c>
      <c r="J39">
        <f>IF(C39&lt;&gt;"—",C39,J38)</f>
        <v/>
      </c>
      <c r="K39">
        <f>IF(C39&lt;&gt;"—",A39,K38)</f>
        <v/>
      </c>
    </row>
    <row r="40" ht="34" customHeight="1">
      <c r="A40" s="23" t="n">
        <v>37</v>
      </c>
      <c r="B40" s="19" t="inlineStr">
        <is>
          <t>Ato 3</t>
        </is>
      </c>
      <c r="C40" s="19" t="inlineStr">
        <is>
          <t>—</t>
        </is>
      </c>
      <c r="D40" s="19" t="inlineStr">
        <is>
          <t>+Minion Skills → Spirit, Movement Speed, Vida</t>
        </is>
      </c>
      <c r="E40" s="19" t="inlineStr">
        <is>
          <t>Rattling Sceptre (main) + Trenchtimbre (offhand) — exatamente como o Mattjestic</t>
        </is>
      </c>
      <c r="F40" s="19" t="inlineStr">
        <is>
          <t>Chober Chaber + Rattling Sceptre (com Treefingers dando Giant's Blood)</t>
        </is>
      </c>
      <c r="G40" s="23" t="inlineStr">
        <is>
          <t>Pendente</t>
        </is>
      </c>
      <c r="H40" s="19" t="inlineStr">
        <is>
          <t>Mighty Silverfist (+ urso + 1 esqueleto)</t>
        </is>
      </c>
      <c r="I40" s="24">
        <f>IF(AND(C40&lt;&gt;"—",A40&gt;INÍCIO!$B$5),1,0)</f>
        <v/>
      </c>
      <c r="J40">
        <f>IF(C40&lt;&gt;"—",C40,J39)</f>
        <v/>
      </c>
      <c r="K40">
        <f>IF(C40&lt;&gt;"—",A40,K39)</f>
        <v/>
      </c>
    </row>
    <row r="41" ht="49" customHeight="1">
      <c r="A41" s="25" t="n">
        <v>38</v>
      </c>
      <c r="B41" s="26" t="inlineStr">
        <is>
          <t>Ato 3</t>
        </is>
      </c>
      <c r="C41" s="26" t="inlineStr">
        <is>
          <t>—</t>
        </is>
      </c>
      <c r="D41" s="26" t="inlineStr">
        <is>
          <t>+Minion Skills → Spirit, Movement Speed, Vida</t>
        </is>
      </c>
      <c r="E41" s="26" t="inlineStr">
        <is>
          <t>Midnight Braid (cinto) · Foxshade/Wanderlust/Blackheart mantidos</t>
        </is>
      </c>
      <c r="F41" s="26" t="inlineStr">
        <is>
          <t>The Vertex versão 'Equipment has no Attribute Requirements' para zerar os requisitos triplicados</t>
        </is>
      </c>
      <c r="G41" s="25" t="inlineStr">
        <is>
          <t>Pendente</t>
        </is>
      </c>
      <c r="H41" s="26" t="inlineStr">
        <is>
          <t>Mighty Silverfist (+ urso + 1 esqueleto)</t>
        </is>
      </c>
      <c r="I41" s="24">
        <f>IF(AND(C41&lt;&gt;"—",A41&gt;INÍCIO!$B$5),1,0)</f>
        <v/>
      </c>
      <c r="J41">
        <f>IF(C41&lt;&gt;"—",C41,J40)</f>
        <v/>
      </c>
      <c r="K41">
        <f>IF(C41&lt;&gt;"—",A41,K40)</f>
        <v/>
      </c>
    </row>
    <row r="42" ht="34" customHeight="1">
      <c r="A42" s="23" t="n">
        <v>39</v>
      </c>
      <c r="B42" s="19" t="inlineStr">
        <is>
          <t>Ato 3</t>
        </is>
      </c>
      <c r="C42" s="19" t="inlineStr">
        <is>
          <t>—</t>
        </is>
      </c>
      <c r="D42" s="19" t="inlineStr">
        <is>
          <t>+Minion Skills → Spirit, Movement Speed, Vida</t>
        </is>
      </c>
      <c r="E42" s="19" t="inlineStr">
        <is>
          <t>Meginord's Girdle se faltar Strength</t>
        </is>
      </c>
      <c r="F42" s="19" t="inlineStr">
        <is>
          <t>Enfolding Dawn (+100 Spirit no body) para caber mais minions</t>
        </is>
      </c>
      <c r="G42" s="23" t="inlineStr">
        <is>
          <t>Pendente</t>
        </is>
      </c>
      <c r="H42" s="19" t="inlineStr">
        <is>
          <t>Mighty Silverfist (+ urso + 1 esqueleto)</t>
        </is>
      </c>
      <c r="I42" s="24">
        <f>IF(AND(C42&lt;&gt;"—",A42&gt;INÍCIO!$B$5),1,0)</f>
        <v/>
      </c>
      <c r="J42">
        <f>IF(C42&lt;&gt;"—",C42,J41)</f>
        <v/>
      </c>
      <c r="K42">
        <f>IF(C42&lt;&gt;"—",A42,K41)</f>
        <v/>
      </c>
    </row>
    <row r="43" ht="34" customHeight="1">
      <c r="A43" s="25" t="n">
        <v>40</v>
      </c>
      <c r="B43" s="26" t="inlineStr">
        <is>
          <t>Ato 3</t>
        </is>
      </c>
      <c r="C43" s="27" t="inlineStr">
        <is>
          <t>Azak Bog: Ignagduk (+30 Spirit). Agora cabe o 2º beast (aura).</t>
        </is>
      </c>
      <c r="D43" s="26" t="inlineStr">
        <is>
          <t>+Minion Skills → Spirit, Movement Speed, Vida</t>
        </is>
      </c>
      <c r="E43" s="26" t="inlineStr">
        <is>
          <t>Rattling Sceptre (main) + Trenchtimbre (offhand) — exatamente como o Mattjestic</t>
        </is>
      </c>
      <c r="F43" s="26" t="inlineStr">
        <is>
          <t>Chober Chaber + Rattling Sceptre (com Treefingers dando Giant's Blood)</t>
        </is>
      </c>
      <c r="G43" s="25" t="inlineStr">
        <is>
          <t>Pendente</t>
        </is>
      </c>
      <c r="H43" s="26" t="inlineStr">
        <is>
          <t>Mighty Silverfist (+ urso + 1 esqueleto)</t>
        </is>
      </c>
      <c r="I43" s="24">
        <f>IF(AND(C43&lt;&gt;"—",A43&gt;INÍCIO!$B$5),1,0)</f>
        <v/>
      </c>
      <c r="J43">
        <f>IF(C43&lt;&gt;"—",C43,J42)</f>
        <v/>
      </c>
      <c r="K43">
        <f>IF(C43&lt;&gt;"—",A43,K42)</f>
        <v/>
      </c>
    </row>
    <row r="44" ht="49" customHeight="1">
      <c r="A44" s="23" t="n">
        <v>41</v>
      </c>
      <c r="B44" s="19" t="inlineStr">
        <is>
          <t>Ato 3</t>
        </is>
      </c>
      <c r="C44" s="19" t="inlineStr">
        <is>
          <t>—</t>
        </is>
      </c>
      <c r="D44" s="19" t="inlineStr">
        <is>
          <t>+Minion Skills → Spirit, Movement Speed, Vida</t>
        </is>
      </c>
      <c r="E44" s="19" t="inlineStr">
        <is>
          <t>Midnight Braid (cinto) · Foxshade/Wanderlust/Blackheart mantidos</t>
        </is>
      </c>
      <c r="F44" s="19" t="inlineStr">
        <is>
          <t>The Vertex versão 'Equipment has no Attribute Requirements' para zerar os requisitos triplicados</t>
        </is>
      </c>
      <c r="G44" s="23" t="inlineStr">
        <is>
          <t>Pendente</t>
        </is>
      </c>
      <c r="H44" s="19" t="inlineStr">
        <is>
          <t>Mighty Silverfist (+ urso + 1 esqueleto)</t>
        </is>
      </c>
      <c r="I44" s="24">
        <f>IF(AND(C44&lt;&gt;"—",A44&gt;INÍCIO!$B$5),1,0)</f>
        <v/>
      </c>
      <c r="J44">
        <f>IF(C44&lt;&gt;"—",C44,J43)</f>
        <v/>
      </c>
      <c r="K44">
        <f>IF(C44&lt;&gt;"—",A44,K43)</f>
        <v/>
      </c>
    </row>
    <row r="45" ht="34" customHeight="1">
      <c r="A45" s="25" t="n">
        <v>42</v>
      </c>
      <c r="B45" s="26" t="inlineStr">
        <is>
          <t>Ato 3</t>
        </is>
      </c>
      <c r="C45" s="26" t="inlineStr">
        <is>
          <t>—</t>
        </is>
      </c>
      <c r="D45" s="26" t="inlineStr">
        <is>
          <t>+Minion Skills → Spirit, Movement Speed, Vida</t>
        </is>
      </c>
      <c r="E45" s="26" t="inlineStr">
        <is>
          <t>Meginord's Girdle se faltar Strength</t>
        </is>
      </c>
      <c r="F45" s="26" t="inlineStr">
        <is>
          <t>Enfolding Dawn (+100 Spirit no body) para caber mais minions</t>
        </is>
      </c>
      <c r="G45" s="25" t="inlineStr">
        <is>
          <t>Pendente</t>
        </is>
      </c>
      <c r="H45" s="26" t="inlineStr">
        <is>
          <t>Mighty Silverfist (+ urso + 1 esqueleto)</t>
        </is>
      </c>
      <c r="I45" s="24">
        <f>IF(AND(C45&lt;&gt;"—",A45&gt;INÍCIO!$B$5),1,0)</f>
        <v/>
      </c>
      <c r="J45">
        <f>IF(C45&lt;&gt;"—",C45,J44)</f>
        <v/>
      </c>
      <c r="K45">
        <f>IF(C45&lt;&gt;"—",A45,K44)</f>
        <v/>
      </c>
    </row>
    <row r="46" ht="34" customHeight="1">
      <c r="A46" s="23" t="n">
        <v>43</v>
      </c>
      <c r="B46" s="19" t="inlineStr">
        <is>
          <t>Ato 3</t>
        </is>
      </c>
      <c r="C46" s="19" t="inlineStr">
        <is>
          <t>—</t>
        </is>
      </c>
      <c r="D46" s="19" t="inlineStr">
        <is>
          <t>+Minion Skills → Spirit, Movement Speed, Vida</t>
        </is>
      </c>
      <c r="E46" s="19" t="inlineStr">
        <is>
          <t>Rattling Sceptre (main) + Trenchtimbre (offhand) — exatamente como o Mattjestic</t>
        </is>
      </c>
      <c r="F46" s="19" t="inlineStr">
        <is>
          <t>Chober Chaber + Rattling Sceptre (com Treefingers dando Giant's Blood)</t>
        </is>
      </c>
      <c r="G46" s="23" t="inlineStr">
        <is>
          <t>Pendente</t>
        </is>
      </c>
      <c r="H46" s="19" t="inlineStr">
        <is>
          <t>Mighty Silverfist (+ urso + 1 esqueleto)</t>
        </is>
      </c>
      <c r="I46" s="24">
        <f>IF(AND(C46&lt;&gt;"—",A46&gt;INÍCIO!$B$5),1,0)</f>
        <v/>
      </c>
      <c r="J46">
        <f>IF(C46&lt;&gt;"—",C46,J45)</f>
        <v/>
      </c>
      <c r="K46">
        <f>IF(C46&lt;&gt;"—",A46,K45)</f>
        <v/>
      </c>
    </row>
    <row r="47" ht="49" customHeight="1">
      <c r="A47" s="25" t="n">
        <v>44</v>
      </c>
      <c r="B47" s="26" t="inlineStr">
        <is>
          <t>Ato 3</t>
        </is>
      </c>
      <c r="C47" s="26" t="inlineStr">
        <is>
          <t>—</t>
        </is>
      </c>
      <c r="D47" s="26" t="inlineStr">
        <is>
          <t>+Minion Skills → Spirit, Movement Speed, Vida</t>
        </is>
      </c>
      <c r="E47" s="26" t="inlineStr">
        <is>
          <t>Midnight Braid (cinto) · Foxshade/Wanderlust/Blackheart mantidos</t>
        </is>
      </c>
      <c r="F47" s="26" t="inlineStr">
        <is>
          <t>The Vertex versão 'Equipment has no Attribute Requirements' para zerar os requisitos triplicados</t>
        </is>
      </c>
      <c r="G47" s="25" t="inlineStr">
        <is>
          <t>Pendente</t>
        </is>
      </c>
      <c r="H47" s="26" t="inlineStr">
        <is>
          <t>Mighty Silverfist (+ urso + 1 esqueleto)</t>
        </is>
      </c>
      <c r="I47" s="24">
        <f>IF(AND(C47&lt;&gt;"—",A47&gt;INÍCIO!$B$5),1,0)</f>
        <v/>
      </c>
      <c r="J47">
        <f>IF(C47&lt;&gt;"—",C47,J46)</f>
        <v/>
      </c>
      <c r="K47">
        <f>IF(C47&lt;&gt;"—",A47,K46)</f>
        <v/>
      </c>
    </row>
    <row r="48" ht="34" customHeight="1">
      <c r="A48" s="23" t="n">
        <v>45</v>
      </c>
      <c r="B48" s="19" t="inlineStr">
        <is>
          <t>Ato 3</t>
        </is>
      </c>
      <c r="C48" s="19" t="inlineStr">
        <is>
          <t>—</t>
        </is>
      </c>
      <c r="D48" s="19" t="inlineStr">
        <is>
          <t>+Minion Skills → Spirit, Movement Speed, Vida</t>
        </is>
      </c>
      <c r="E48" s="19" t="inlineStr">
        <is>
          <t>Meginord's Girdle se faltar Strength</t>
        </is>
      </c>
      <c r="F48" s="19" t="inlineStr">
        <is>
          <t>Enfolding Dawn (+100 Spirit no body) para caber mais minions</t>
        </is>
      </c>
      <c r="G48" s="23" t="inlineStr">
        <is>
          <t>Pendente</t>
        </is>
      </c>
      <c r="H48" s="19" t="inlineStr">
        <is>
          <t>Mighty Silverfist (+ urso + 1 esqueleto)</t>
        </is>
      </c>
      <c r="I48" s="24">
        <f>IF(AND(C48&lt;&gt;"—",A48&gt;INÍCIO!$B$5),1,0)</f>
        <v/>
      </c>
      <c r="J48">
        <f>IF(C48&lt;&gt;"—",C48,J47)</f>
        <v/>
      </c>
      <c r="K48">
        <f>IF(C48&lt;&gt;"—",A48,K47)</f>
        <v/>
      </c>
    </row>
    <row r="49" ht="34" customHeight="1">
      <c r="A49" s="25" t="n">
        <v>46</v>
      </c>
      <c r="B49" s="26" t="inlineStr">
        <is>
          <t>Ato 4</t>
        </is>
      </c>
      <c r="C49" s="27" t="inlineStr">
        <is>
          <t>Evergrasping Ring ×2 + Withering Presence. Spirit: Silverfist → aura → Withering Presence → 1 esqueleto.</t>
        </is>
      </c>
      <c r="D49" s="26" t="inlineStr">
        <is>
          <t>Macaco + 1 beast de aura (o limite do Trusted Kinship é 2 companions), marks e curse. Entram Evergrasping Ring (aliados ganham dano de chaos) e Withering Presence (inimigos recebem mais chaos): as duas peças se multiplicam.</t>
        </is>
      </c>
      <c r="E49" s="26" t="inlineStr">
        <is>
          <t>Rattling Sceptre + Trenchtimbre</t>
        </is>
      </c>
      <c r="F49" s="26" t="inlineStr">
        <is>
          <t>Chober Chaber + Rattling Sceptre + Treefingers + The Vertex</t>
        </is>
      </c>
      <c r="G49" s="25" t="inlineStr">
        <is>
          <t>Pendente</t>
        </is>
      </c>
      <c r="H49" s="26" t="inlineStr">
        <is>
          <t>Silverfist (+ aura bots)</t>
        </is>
      </c>
      <c r="I49" s="24">
        <f>IF(AND(C49&lt;&gt;"—",A49&gt;INÍCIO!$B$5),1,0)</f>
        <v/>
      </c>
      <c r="J49">
        <f>IF(C49&lt;&gt;"—",C49,J48)</f>
        <v/>
      </c>
      <c r="K49">
        <f>IF(C49&lt;&gt;"—",A49,K48)</f>
        <v/>
      </c>
    </row>
    <row r="50" ht="34" customHeight="1">
      <c r="A50" s="23" t="n">
        <v>47</v>
      </c>
      <c r="B50" s="19" t="inlineStr">
        <is>
          <t>Ato 4</t>
        </is>
      </c>
      <c r="C50" s="19" t="inlineStr">
        <is>
          <t>—</t>
        </is>
      </c>
      <c r="D50" s="19" t="inlineStr">
        <is>
          <t>+Minion Skills → Spirit, Vida, Resistências</t>
        </is>
      </c>
      <c r="E50" s="19" t="inlineStr">
        <is>
          <t>Evergrasping Ring ×2 (aliados ganham 15–25% do dano como chaos)</t>
        </is>
      </c>
      <c r="F50" s="19" t="inlineStr">
        <is>
          <t>Evergrasping Ring ×2 · Enfolding Dawn · Bushwhack</t>
        </is>
      </c>
      <c r="G50" s="23" t="inlineStr">
        <is>
          <t>Pendente</t>
        </is>
      </c>
      <c r="H50" s="19" t="inlineStr">
        <is>
          <t>Silverfist (+ aura bots)</t>
        </is>
      </c>
      <c r="I50" s="24">
        <f>IF(AND(C50&lt;&gt;"—",A50&gt;INÍCIO!$B$5),1,0)</f>
        <v/>
      </c>
      <c r="J50">
        <f>IF(C50&lt;&gt;"—",C50,J49)</f>
        <v/>
      </c>
      <c r="K50">
        <f>IF(C50&lt;&gt;"—",A50,K49)</f>
        <v/>
      </c>
    </row>
    <row r="51" ht="34" customHeight="1">
      <c r="A51" s="25" t="n">
        <v>48</v>
      </c>
      <c r="B51" s="26" t="inlineStr">
        <is>
          <t>Ato 4</t>
        </is>
      </c>
      <c r="C51" s="27" t="inlineStr">
        <is>
          <t>Whakapanu Island: capture Quill/Coconut Crab com aura (~25% Spirit).</t>
        </is>
      </c>
      <c r="D51" s="26" t="inlineStr">
        <is>
          <t>+Minion Skills → Spirit, Vida, Resistências</t>
        </is>
      </c>
      <c r="E51" s="26" t="inlineStr">
        <is>
          <t>Enfolding Dawn (+100 Spirit) · Bushwhack (botas) · Midnight Braid</t>
        </is>
      </c>
      <c r="F51" s="26" t="inlineStr">
        <is>
          <t>Primeiro Quill/Coconut Crab com Haste Aura</t>
        </is>
      </c>
      <c r="G51" s="25" t="inlineStr">
        <is>
          <t>Pendente</t>
        </is>
      </c>
      <c r="H51" s="26" t="inlineStr">
        <is>
          <t>Silverfist (+ aura bots)</t>
        </is>
      </c>
      <c r="I51" s="24">
        <f>IF(AND(C51&lt;&gt;"—",A51&gt;INÍCIO!$B$5),1,0)</f>
        <v/>
      </c>
      <c r="J51">
        <f>IF(C51&lt;&gt;"—",C51,J50)</f>
        <v/>
      </c>
      <c r="K51">
        <f>IF(C51&lt;&gt;"—",A51,K50)</f>
        <v/>
      </c>
    </row>
    <row r="52" ht="34" customHeight="1">
      <c r="A52" s="23" t="n">
        <v>49</v>
      </c>
      <c r="B52" s="19" t="inlineStr">
        <is>
          <t>Ato 4</t>
        </is>
      </c>
      <c r="C52" s="19" t="inlineStr">
        <is>
          <t>—</t>
        </is>
      </c>
      <c r="D52" s="19" t="inlineStr">
        <is>
          <t>+Minion Skills → Spirit, Vida, Resistências</t>
        </is>
      </c>
      <c r="E52" s="19" t="inlineStr">
        <is>
          <t>Charms contra bleed/ignite</t>
        </is>
      </c>
      <c r="F52" s="19" t="inlineStr">
        <is>
          <t>Chober Chaber + Rattling Sceptre + Treefingers + The Vertex</t>
        </is>
      </c>
      <c r="G52" s="23" t="inlineStr">
        <is>
          <t>Pendente</t>
        </is>
      </c>
      <c r="H52" s="19" t="inlineStr">
        <is>
          <t>Silverfist (+ aura bots)</t>
        </is>
      </c>
      <c r="I52" s="24">
        <f>IF(AND(C52&lt;&gt;"—",A52&gt;INÍCIO!$B$5),1,0)</f>
        <v/>
      </c>
      <c r="J52">
        <f>IF(C52&lt;&gt;"—",C52,J51)</f>
        <v/>
      </c>
      <c r="K52">
        <f>IF(C52&lt;&gt;"—",A52,K51)</f>
        <v/>
      </c>
    </row>
    <row r="53" ht="34" customHeight="1">
      <c r="A53" s="25" t="n">
        <v>50</v>
      </c>
      <c r="B53" s="26" t="inlineStr">
        <is>
          <t>Ato 4</t>
        </is>
      </c>
      <c r="C53" s="26" t="inlineStr">
        <is>
          <t>—</t>
        </is>
      </c>
      <c r="D53" s="26" t="inlineStr">
        <is>
          <t>+Minion Skills → Spirit, Vida, Resistências</t>
        </is>
      </c>
      <c r="E53" s="26" t="inlineStr">
        <is>
          <t>Rattling Sceptre + Trenchtimbre</t>
        </is>
      </c>
      <c r="F53" s="26" t="inlineStr">
        <is>
          <t>Evergrasping Ring ×2 · Enfolding Dawn · Bushwhack</t>
        </is>
      </c>
      <c r="G53" s="25" t="inlineStr">
        <is>
          <t>Pendente</t>
        </is>
      </c>
      <c r="H53" s="26" t="inlineStr">
        <is>
          <t>Silverfist (+ aura bots)</t>
        </is>
      </c>
      <c r="I53" s="24">
        <f>IF(AND(C53&lt;&gt;"—",A53&gt;INÍCIO!$B$5),1,0)</f>
        <v/>
      </c>
      <c r="J53">
        <f>IF(C53&lt;&gt;"—",C53,J52)</f>
        <v/>
      </c>
      <c r="K53">
        <f>IF(C53&lt;&gt;"—",A53,K52)</f>
        <v/>
      </c>
    </row>
    <row r="54" ht="34" customHeight="1">
      <c r="A54" s="23" t="n">
        <v>51</v>
      </c>
      <c r="B54" s="19" t="inlineStr">
        <is>
          <t>Ato 4</t>
        </is>
      </c>
      <c r="C54" s="19" t="inlineStr">
        <is>
          <t>—</t>
        </is>
      </c>
      <c r="D54" s="19" t="inlineStr">
        <is>
          <t>+Minion Skills → Spirit, Vida, Resistências</t>
        </is>
      </c>
      <c r="E54" s="19" t="inlineStr">
        <is>
          <t>Evergrasping Ring ×2 (aliados ganham 15–25% do dano como chaos)</t>
        </is>
      </c>
      <c r="F54" s="19" t="inlineStr">
        <is>
          <t>Primeiro Quill/Coconut Crab com Haste Aura</t>
        </is>
      </c>
      <c r="G54" s="23" t="inlineStr">
        <is>
          <t>Pendente</t>
        </is>
      </c>
      <c r="H54" s="19" t="inlineStr">
        <is>
          <t>Silverfist (+ aura bots)</t>
        </is>
      </c>
      <c r="I54" s="24">
        <f>IF(AND(C54&lt;&gt;"—",A54&gt;INÍCIO!$B$5),1,0)</f>
        <v/>
      </c>
      <c r="J54">
        <f>IF(C54&lt;&gt;"—",C54,J53)</f>
        <v/>
      </c>
      <c r="K54">
        <f>IF(C54&lt;&gt;"—",A54,K53)</f>
        <v/>
      </c>
    </row>
    <row r="55" ht="34" customHeight="1">
      <c r="A55" s="25" t="n">
        <v>52</v>
      </c>
      <c r="B55" s="26" t="inlineStr">
        <is>
          <t>Ato 4</t>
        </is>
      </c>
      <c r="C55" s="27" t="inlineStr">
        <is>
          <t>Sniper's Mark + Mark for Death no boss.</t>
        </is>
      </c>
      <c r="D55" s="26" t="inlineStr">
        <is>
          <t>+Minion Skills → Spirit, Vida, Resistências</t>
        </is>
      </c>
      <c r="E55" s="26" t="inlineStr">
        <is>
          <t>Enfolding Dawn (+100 Spirit) · Bushwhack (botas) · Midnight Braid</t>
        </is>
      </c>
      <c r="F55" s="26" t="inlineStr">
        <is>
          <t>Chober Chaber + Rattling Sceptre + Treefingers + The Vertex</t>
        </is>
      </c>
      <c r="G55" s="25" t="inlineStr">
        <is>
          <t>Pendente</t>
        </is>
      </c>
      <c r="H55" s="26" t="inlineStr">
        <is>
          <t>Silverfist (+ aura bots)</t>
        </is>
      </c>
      <c r="I55" s="24">
        <f>IF(AND(C55&lt;&gt;"—",A55&gt;INÍCIO!$B$5),1,0)</f>
        <v/>
      </c>
      <c r="J55">
        <f>IF(C55&lt;&gt;"—",C55,J54)</f>
        <v/>
      </c>
      <c r="K55">
        <f>IF(C55&lt;&gt;"—",A55,K54)</f>
        <v/>
      </c>
    </row>
    <row r="56" ht="34" customHeight="1">
      <c r="A56" s="23" t="n">
        <v>53</v>
      </c>
      <c r="B56" s="19" t="inlineStr">
        <is>
          <t>Ato 4</t>
        </is>
      </c>
      <c r="C56" s="19" t="inlineStr">
        <is>
          <t>—</t>
        </is>
      </c>
      <c r="D56" s="19" t="inlineStr">
        <is>
          <t>+Minion Skills → Spirit, Vida, Resistências</t>
        </is>
      </c>
      <c r="E56" s="19" t="inlineStr">
        <is>
          <t>Charms contra bleed/ignite</t>
        </is>
      </c>
      <c r="F56" s="19" t="inlineStr">
        <is>
          <t>Evergrasping Ring ×2 · Enfolding Dawn · Bushwhack</t>
        </is>
      </c>
      <c r="G56" s="23" t="inlineStr">
        <is>
          <t>Pendente</t>
        </is>
      </c>
      <c r="H56" s="19" t="inlineStr">
        <is>
          <t>Silverfist (+ aura bots)</t>
        </is>
      </c>
      <c r="I56" s="24">
        <f>IF(AND(C56&lt;&gt;"—",A56&gt;INÍCIO!$B$5),1,0)</f>
        <v/>
      </c>
      <c r="J56">
        <f>IF(C56&lt;&gt;"—",C56,J55)</f>
        <v/>
      </c>
      <c r="K56">
        <f>IF(C56&lt;&gt;"—",A56,K55)</f>
        <v/>
      </c>
    </row>
    <row r="57" ht="19" customHeight="1">
      <c r="A57" s="25" t="n">
        <v>54</v>
      </c>
      <c r="B57" s="26" t="inlineStr">
        <is>
          <t>Ato 4</t>
        </is>
      </c>
      <c r="C57" s="26" t="inlineStr">
        <is>
          <t>—</t>
        </is>
      </c>
      <c r="D57" s="26" t="inlineStr">
        <is>
          <t>+Minion Skills → Spirit, Vida, Resistências</t>
        </is>
      </c>
      <c r="E57" s="26" t="inlineStr">
        <is>
          <t>Rattling Sceptre + Trenchtimbre</t>
        </is>
      </c>
      <c r="F57" s="26" t="inlineStr">
        <is>
          <t>Primeiro Quill/Coconut Crab com Haste Aura</t>
        </is>
      </c>
      <c r="G57" s="25" t="inlineStr">
        <is>
          <t>Pendente</t>
        </is>
      </c>
      <c r="H57" s="26" t="inlineStr">
        <is>
          <t>Silverfist (+ aura bots)</t>
        </is>
      </c>
      <c r="I57" s="24">
        <f>IF(AND(C57&lt;&gt;"—",A57&gt;INÍCIO!$B$5),1,0)</f>
        <v/>
      </c>
      <c r="J57">
        <f>IF(C57&lt;&gt;"—",C57,J56)</f>
        <v/>
      </c>
      <c r="K57">
        <f>IF(C57&lt;&gt;"—",A57,K56)</f>
        <v/>
      </c>
    </row>
    <row r="58" ht="34" customHeight="1">
      <c r="A58" s="23" t="n">
        <v>55</v>
      </c>
      <c r="B58" s="19" t="inlineStr">
        <is>
          <t>Ato 4</t>
        </is>
      </c>
      <c r="C58" s="18" t="inlineStr">
        <is>
          <t>Tribal Medicine: Evasion como Deflection.</t>
        </is>
      </c>
      <c r="D58" s="19" t="inlineStr">
        <is>
          <t>+Minion Skills → Spirit, Vida, Resistências</t>
        </is>
      </c>
      <c r="E58" s="19" t="inlineStr">
        <is>
          <t>Evergrasping Ring ×2 (aliados ganham 15–25% do dano como chaos)</t>
        </is>
      </c>
      <c r="F58" s="19" t="inlineStr">
        <is>
          <t>Chober Chaber + Rattling Sceptre + Treefingers + The Vertex</t>
        </is>
      </c>
      <c r="G58" s="23" t="inlineStr">
        <is>
          <t>Pendente</t>
        </is>
      </c>
      <c r="H58" s="19" t="inlineStr">
        <is>
          <t>Silverfist (+ aura bots)</t>
        </is>
      </c>
      <c r="I58" s="24">
        <f>IF(AND(C58&lt;&gt;"—",A58&gt;INÍCIO!$B$5),1,0)</f>
        <v/>
      </c>
      <c r="J58">
        <f>IF(C58&lt;&gt;"—",C58,J57)</f>
        <v/>
      </c>
      <c r="K58">
        <f>IF(C58&lt;&gt;"—",A58,K57)</f>
        <v/>
      </c>
    </row>
    <row r="59" ht="34" customHeight="1">
      <c r="A59" s="25" t="n">
        <v>56</v>
      </c>
      <c r="B59" s="26" t="inlineStr">
        <is>
          <t>Interlúdios</t>
        </is>
      </c>
      <c r="C59" s="27" t="inlineStr">
        <is>
          <t>Muster no macaco. Tipos de esqueleto extras (Arsonist, Sniper…) UM POR VEZ, só se couber no Spirit.</t>
        </is>
      </c>
      <c r="D59" s="26" t="inlineStr">
        <is>
          <t>Depois do Lythara (+40 Spirit), somar TIPOS de esqueleto para o Muster, um por vez e só enquanto couber no Spirit: cada tipo diferente = +7% more dano no macaco, e o 2º esqueleto libera o Danse Macabre. Vulnerability tira Armour.</t>
        </is>
      </c>
      <c r="E59" s="26" t="inlineStr">
        <is>
          <t>Trenchtimbre na main-hand + Rattling Sceptre no offhand</t>
        </is>
      </c>
      <c r="F59" s="26" t="inlineStr">
        <is>
          <t>Chober Chaber + Rattling Sceptre + Treefingers + The Vertex</t>
        </is>
      </c>
      <c r="G59" s="25" t="inlineStr">
        <is>
          <t>Pendente</t>
        </is>
      </c>
      <c r="H59" s="26" t="inlineStr">
        <is>
          <t>Silverfist + zoo</t>
        </is>
      </c>
      <c r="I59" s="24">
        <f>IF(AND(C59&lt;&gt;"—",A59&gt;INÍCIO!$B$5),1,0)</f>
        <v/>
      </c>
      <c r="J59">
        <f>IF(C59&lt;&gt;"—",C59,J58)</f>
        <v/>
      </c>
      <c r="K59">
        <f>IF(C59&lt;&gt;"—",A59,K58)</f>
        <v/>
      </c>
    </row>
    <row r="60" ht="34" customHeight="1">
      <c r="A60" s="23" t="n">
        <v>57</v>
      </c>
      <c r="B60" s="19" t="inlineStr">
        <is>
          <t>Interlúdios</t>
        </is>
      </c>
      <c r="C60" s="19" t="inlineStr">
        <is>
          <t>—</t>
        </is>
      </c>
      <c r="D60" s="19" t="inlineStr">
        <is>
          <t>+Minion Skills → Spirit, Vida, Resistências (cap 75%)</t>
        </is>
      </c>
      <c r="E60" s="19" t="inlineStr">
        <is>
          <t>Enfolding Dawn · Bushwhack · Evergrasping Ring ×2 · Meginord's Girdle</t>
        </is>
      </c>
      <c r="F60" s="19" t="inlineStr">
        <is>
          <t>Enfolding Dawn · Bushwhack · Evergrasping Ring ×2</t>
        </is>
      </c>
      <c r="G60" s="23" t="inlineStr">
        <is>
          <t>Pendente</t>
        </is>
      </c>
      <c r="H60" s="19" t="inlineStr">
        <is>
          <t>Silverfist + zoo</t>
        </is>
      </c>
      <c r="I60" s="24">
        <f>IF(AND(C60&lt;&gt;"—",A60&gt;INÍCIO!$B$5),1,0)</f>
        <v/>
      </c>
      <c r="J60">
        <f>IF(C60&lt;&gt;"—",C60,J59)</f>
        <v/>
      </c>
      <c r="K60">
        <f>IF(C60&lt;&gt;"—",A60,K59)</f>
        <v/>
      </c>
    </row>
    <row r="61" ht="34" customHeight="1">
      <c r="A61" s="25" t="n">
        <v>58</v>
      </c>
      <c r="B61" s="26" t="inlineStr">
        <is>
          <t>Interlúdios</t>
        </is>
      </c>
      <c r="C61" s="27" t="inlineStr">
        <is>
          <t>Vulnerability (curse) + Heightened Curse.</t>
        </is>
      </c>
      <c r="D61" s="26" t="inlineStr">
        <is>
          <t>+Minion Skills → Spirit, Vida, Resistências (cap 75%)</t>
        </is>
      </c>
      <c r="E61" s="26" t="inlineStr">
        <is>
          <t>Capacete Runeforged (Elite Greathelm) para Runic Ward</t>
        </is>
      </c>
      <c r="F61" s="26" t="inlineStr">
        <is>
          <t>Ventor's Gamble se sobrar dinheiro</t>
        </is>
      </c>
      <c r="G61" s="25" t="inlineStr">
        <is>
          <t>Pendente</t>
        </is>
      </c>
      <c r="H61" s="26" t="inlineStr">
        <is>
          <t>Silverfist + zoo</t>
        </is>
      </c>
      <c r="I61" s="24">
        <f>IF(AND(C61&lt;&gt;"—",A61&gt;INÍCIO!$B$5),1,0)</f>
        <v/>
      </c>
      <c r="J61">
        <f>IF(C61&lt;&gt;"—",C61,J60)</f>
        <v/>
      </c>
      <c r="K61">
        <f>IF(C61&lt;&gt;"—",A61,K60)</f>
        <v/>
      </c>
    </row>
    <row r="62" ht="34" customHeight="1">
      <c r="A62" s="23" t="n">
        <v>59</v>
      </c>
      <c r="B62" s="19" t="inlineStr">
        <is>
          <t>Interlúdios</t>
        </is>
      </c>
      <c r="C62" s="19" t="inlineStr">
        <is>
          <t>—</t>
        </is>
      </c>
      <c r="D62" s="19" t="inlineStr">
        <is>
          <t>+Minion Skills → Spirit, Vida, Resistências (cap 75%)</t>
        </is>
      </c>
      <c r="E62" s="19" t="inlineStr">
        <is>
          <t>Trenchtimbre na main-hand + Rattling Sceptre no offhand</t>
        </is>
      </c>
      <c r="F62" s="19" t="inlineStr">
        <is>
          <t>Chober Chaber + Rattling Sceptre + Treefingers + The Vertex</t>
        </is>
      </c>
      <c r="G62" s="23" t="inlineStr">
        <is>
          <t>Pendente</t>
        </is>
      </c>
      <c r="H62" s="19" t="inlineStr">
        <is>
          <t>Silverfist + zoo</t>
        </is>
      </c>
      <c r="I62" s="24">
        <f>IF(AND(C62&lt;&gt;"—",A62&gt;INÍCIO!$B$5),1,0)</f>
        <v/>
      </c>
      <c r="J62">
        <f>IF(C62&lt;&gt;"—",C62,J61)</f>
        <v/>
      </c>
      <c r="K62">
        <f>IF(C62&lt;&gt;"—",A62,K61)</f>
        <v/>
      </c>
    </row>
    <row r="63" ht="34" customHeight="1">
      <c r="A63" s="25" t="n">
        <v>60</v>
      </c>
      <c r="B63" s="26" t="inlineStr">
        <is>
          <t>Interlúdios</t>
        </is>
      </c>
      <c r="C63" s="26" t="inlineStr">
        <is>
          <t>—</t>
        </is>
      </c>
      <c r="D63" s="26" t="inlineStr">
        <is>
          <t>+Minion Skills → Spirit, Vida, Resistências (cap 75%)</t>
        </is>
      </c>
      <c r="E63" s="26" t="inlineStr">
        <is>
          <t>Enfolding Dawn · Bushwhack · Evergrasping Ring ×2 · Meginord's Girdle</t>
        </is>
      </c>
      <c r="F63" s="26" t="inlineStr">
        <is>
          <t>Enfolding Dawn · Bushwhack · Evergrasping Ring ×2</t>
        </is>
      </c>
      <c r="G63" s="25" t="inlineStr">
        <is>
          <t>Pendente</t>
        </is>
      </c>
      <c r="H63" s="26" t="inlineStr">
        <is>
          <t>Silverfist + zoo</t>
        </is>
      </c>
      <c r="I63" s="24">
        <f>IF(AND(C63&lt;&gt;"—",A63&gt;INÍCIO!$B$5),1,0)</f>
        <v/>
      </c>
      <c r="J63">
        <f>IF(C63&lt;&gt;"—",C63,J62)</f>
        <v/>
      </c>
      <c r="K63">
        <f>IF(C63&lt;&gt;"—",A63,K62)</f>
        <v/>
      </c>
    </row>
    <row r="64" ht="34" customHeight="1">
      <c r="A64" s="23" t="n">
        <v>61</v>
      </c>
      <c r="B64" s="19" t="inlineStr">
        <is>
          <t>Interlúdios</t>
        </is>
      </c>
      <c r="C64" s="19" t="inlineStr">
        <is>
          <t>—</t>
        </is>
      </c>
      <c r="D64" s="19" t="inlineStr">
        <is>
          <t>+Minion Skills → Spirit, Vida, Resistências (cap 75%)</t>
        </is>
      </c>
      <c r="E64" s="19" t="inlineStr">
        <is>
          <t>Capacete Runeforged (Elite Greathelm) para Runic Ward</t>
        </is>
      </c>
      <c r="F64" s="19" t="inlineStr">
        <is>
          <t>Ventor's Gamble se sobrar dinheiro</t>
        </is>
      </c>
      <c r="G64" s="23" t="inlineStr">
        <is>
          <t>Pendente</t>
        </is>
      </c>
      <c r="H64" s="19" t="inlineStr">
        <is>
          <t>Silverfist + zoo</t>
        </is>
      </c>
      <c r="I64" s="24">
        <f>IF(AND(C64&lt;&gt;"—",A64&gt;INÍCIO!$B$5),1,0)</f>
        <v/>
      </c>
      <c r="J64">
        <f>IF(C64&lt;&gt;"—",C64,J63)</f>
        <v/>
      </c>
      <c r="K64">
        <f>IF(C64&lt;&gt;"—",A64,K63)</f>
        <v/>
      </c>
    </row>
    <row r="65" ht="34" customHeight="1">
      <c r="A65" s="25" t="n">
        <v>62</v>
      </c>
      <c r="B65" s="26" t="inlineStr">
        <is>
          <t>Interlúdios</t>
        </is>
      </c>
      <c r="C65" s="27" t="inlineStr">
        <is>
          <t>Kriar Village: Lythara (+40 Spirit). Agora cabem o 2º esqueleto (Danse Macabre) e mais tipos.</t>
        </is>
      </c>
      <c r="D65" s="26" t="inlineStr">
        <is>
          <t>+Minion Skills → Spirit, Vida, Resistências (cap 75%)</t>
        </is>
      </c>
      <c r="E65" s="26" t="inlineStr">
        <is>
          <t>Trenchtimbre na main-hand + Rattling Sceptre no offhand</t>
        </is>
      </c>
      <c r="F65" s="26" t="inlineStr">
        <is>
          <t>Chober Chaber + Rattling Sceptre + Treefingers + The Vertex</t>
        </is>
      </c>
      <c r="G65" s="25" t="inlineStr">
        <is>
          <t>Pendente</t>
        </is>
      </c>
      <c r="H65" s="26" t="inlineStr">
        <is>
          <t>Silverfist + zoo</t>
        </is>
      </c>
      <c r="I65" s="24">
        <f>IF(AND(C65&lt;&gt;"—",A65&gt;INÍCIO!$B$5),1,0)</f>
        <v/>
      </c>
      <c r="J65">
        <f>IF(C65&lt;&gt;"—",C65,J64)</f>
        <v/>
      </c>
      <c r="K65">
        <f>IF(C65&lt;&gt;"—",A65,K64)</f>
        <v/>
      </c>
    </row>
    <row r="66" ht="34" customHeight="1">
      <c r="A66" s="23" t="n">
        <v>63</v>
      </c>
      <c r="B66" s="19" t="inlineStr">
        <is>
          <t>Interlúdios</t>
        </is>
      </c>
      <c r="C66" s="19" t="inlineStr">
        <is>
          <t>—</t>
        </is>
      </c>
      <c r="D66" s="19" t="inlineStr">
        <is>
          <t>+Minion Skills → Spirit, Vida, Resistências (cap 75%)</t>
        </is>
      </c>
      <c r="E66" s="19" t="inlineStr">
        <is>
          <t>Enfolding Dawn · Bushwhack · Evergrasping Ring ×2 · Meginord's Girdle</t>
        </is>
      </c>
      <c r="F66" s="19" t="inlineStr">
        <is>
          <t>Enfolding Dawn · Bushwhack · Evergrasping Ring ×2</t>
        </is>
      </c>
      <c r="G66" s="23" t="inlineStr">
        <is>
          <t>Pendente</t>
        </is>
      </c>
      <c r="H66" s="19" t="inlineStr">
        <is>
          <t>Silverfist + zoo</t>
        </is>
      </c>
      <c r="I66" s="24">
        <f>IF(AND(C66&lt;&gt;"—",A66&gt;INÍCIO!$B$5),1,0)</f>
        <v/>
      </c>
      <c r="J66">
        <f>IF(C66&lt;&gt;"—",C66,J65)</f>
        <v/>
      </c>
      <c r="K66">
        <f>IF(C66&lt;&gt;"—",A66,K65)</f>
        <v/>
      </c>
    </row>
    <row r="67" ht="34" customHeight="1">
      <c r="A67" s="25" t="n">
        <v>64</v>
      </c>
      <c r="B67" s="26" t="inlineStr">
        <is>
          <t>Interlúdios</t>
        </is>
      </c>
      <c r="C67" s="26" t="inlineStr">
        <is>
          <t>—</t>
        </is>
      </c>
      <c r="D67" s="26" t="inlineStr">
        <is>
          <t>+Minion Skills → Spirit, Vida, Resistências (cap 75%)</t>
        </is>
      </c>
      <c r="E67" s="26" t="inlineStr">
        <is>
          <t>Capacete Runeforged (Elite Greathelm) para Runic Ward</t>
        </is>
      </c>
      <c r="F67" s="26" t="inlineStr">
        <is>
          <t>Ventor's Gamble se sobrar dinheiro</t>
        </is>
      </c>
      <c r="G67" s="25" t="inlineStr">
        <is>
          <t>Pendente</t>
        </is>
      </c>
      <c r="H67" s="26" t="inlineStr">
        <is>
          <t>Silverfist + zoo</t>
        </is>
      </c>
      <c r="I67" s="24">
        <f>IF(AND(C67&lt;&gt;"—",A67&gt;INÍCIO!$B$5),1,0)</f>
        <v/>
      </c>
      <c r="J67">
        <f>IF(C67&lt;&gt;"—",C67,J66)</f>
        <v/>
      </c>
      <c r="K67">
        <f>IF(C67&lt;&gt;"—",A67,K66)</f>
        <v/>
      </c>
    </row>
    <row r="68" ht="34" customHeight="1">
      <c r="A68" s="23" t="n">
        <v>65</v>
      </c>
      <c r="B68" s="19" t="inlineStr">
        <is>
          <t>Início do Atlas</t>
        </is>
      </c>
      <c r="C68" s="18" t="inlineStr">
        <is>
          <t>The Catha's Balance: o dano da sua arma vira dano dos companions.</t>
        </is>
      </c>
      <c r="D68" s="19" t="inlineStr">
        <is>
          <t>The Catha's Balance transforma o dano da SUA arma em dano dos companions (60% por golpe). É aqui que a Chober Chaber vira o centro: maça de 2 mãos com dano base altíssimo, +Minion Skills e +50 Spirit.</t>
        </is>
      </c>
      <c r="E68" s="19" t="inlineStr">
        <is>
          <t>Trenchtimbre + Rattling Sceptre até juntar para a Chober Chaber</t>
        </is>
      </c>
      <c r="F68" s="19" t="inlineStr">
        <is>
          <t>Chober Chaber (Runeforged) + Rattling Sceptre + Treefingers + The Vertex</t>
        </is>
      </c>
      <c r="G68" s="23" t="inlineStr">
        <is>
          <t>Pendente</t>
        </is>
      </c>
      <c r="H68" s="19" t="inlineStr">
        <is>
          <t>Macaco (Silverfist/Zekoa) + zoo</t>
        </is>
      </c>
      <c r="I68" s="24">
        <f>IF(AND(C68&lt;&gt;"—",A68&gt;INÍCIO!$B$5),1,0)</f>
        <v/>
      </c>
      <c r="J68">
        <f>IF(C68&lt;&gt;"—",C68,J67)</f>
        <v/>
      </c>
      <c r="K68">
        <f>IF(C68&lt;&gt;"—",A68,K67)</f>
        <v/>
      </c>
    </row>
    <row r="69" ht="34" customHeight="1">
      <c r="A69" s="25" t="n">
        <v>66</v>
      </c>
      <c r="B69" s="26" t="inlineStr">
        <is>
          <t>Início do Atlas</t>
        </is>
      </c>
      <c r="C69" s="27" t="inlineStr">
        <is>
          <t>Chober Chaber na main-hand (se ainda estava na Trenchtimbre).</t>
        </is>
      </c>
      <c r="D69" s="26" t="inlineStr">
        <is>
          <t>Dano base da main-hand (Catha) → +Minion Skills, Spirit, Vida</t>
        </is>
      </c>
      <c r="E69" s="26" t="inlineStr">
        <is>
          <t>Evergrasping Ring ×2 · armaduras Runeforged (Runic Ward para o Refutation)</t>
        </is>
      </c>
      <c r="F69" s="26" t="inlineStr">
        <is>
          <t>Sylvan's Effigy assim que tiver ~1 div (substitui o Rattling Sceptre)</t>
        </is>
      </c>
      <c r="G69" s="25" t="inlineStr">
        <is>
          <t>Pendente</t>
        </is>
      </c>
      <c r="H69" s="26" t="inlineStr">
        <is>
          <t>Macaco (Silverfist/Zekoa) + zoo</t>
        </is>
      </c>
      <c r="I69" s="24">
        <f>IF(AND(C69&lt;&gt;"—",A69&gt;INÍCIO!$B$5),1,0)</f>
        <v/>
      </c>
      <c r="J69">
        <f>IF(C69&lt;&gt;"—",C69,J68)</f>
        <v/>
      </c>
      <c r="K69">
        <f>IF(C69&lt;&gt;"—",A69,K68)</f>
        <v/>
      </c>
    </row>
    <row r="70" ht="19" customHeight="1">
      <c r="A70" s="23" t="n">
        <v>67</v>
      </c>
      <c r="B70" s="19" t="inlineStr">
        <is>
          <t>Início do Atlas</t>
        </is>
      </c>
      <c r="C70" s="19" t="inlineStr">
        <is>
          <t>—</t>
        </is>
      </c>
      <c r="D70" s="19" t="inlineStr">
        <is>
          <t>Dano base da main-hand (Catha) → +Minion Skills, Spirit, Vida</t>
        </is>
      </c>
      <c r="E70" s="19" t="inlineStr">
        <is>
          <t>Jewels: From Nothing · Undying Hate</t>
        </is>
      </c>
      <c r="F70" s="19" t="inlineStr">
        <is>
          <t>From Nothing · Undying Hate</t>
        </is>
      </c>
      <c r="G70" s="23" t="inlineStr">
        <is>
          <t>Pendente</t>
        </is>
      </c>
      <c r="H70" s="19" t="inlineStr">
        <is>
          <t>Macaco (Silverfist/Zekoa) + zoo</t>
        </is>
      </c>
      <c r="I70" s="24">
        <f>IF(AND(C70&lt;&gt;"—",A70&gt;INÍCIO!$B$5),1,0)</f>
        <v/>
      </c>
      <c r="J70">
        <f>IF(C70&lt;&gt;"—",C70,J69)</f>
        <v/>
      </c>
      <c r="K70">
        <f>IF(C70&lt;&gt;"—",A70,K69)</f>
        <v/>
      </c>
    </row>
    <row r="71" ht="34" customHeight="1">
      <c r="A71" s="25" t="n">
        <v>68</v>
      </c>
      <c r="B71" s="26" t="inlineStr">
        <is>
          <t>Início do Atlas</t>
        </is>
      </c>
      <c r="C71" s="27" t="inlineStr">
        <is>
          <t>Despair + Skeletal Cleric + Refutation (armaduras Runeforged).</t>
        </is>
      </c>
      <c r="D71" s="26" t="inlineStr">
        <is>
          <t>Dano base da main-hand (Catha) → +Minion Skills, Spirit, Vida</t>
        </is>
      </c>
      <c r="E71" s="26" t="inlineStr">
        <is>
          <t>Trenchtimbre + Rattling Sceptre até juntar para a Chober Chaber</t>
        </is>
      </c>
      <c r="F71" s="26" t="inlineStr">
        <is>
          <t>Chober Chaber (Runeforged) + Rattling Sceptre + Treefingers + The Vertex</t>
        </is>
      </c>
      <c r="G71" s="25" t="inlineStr">
        <is>
          <t>Pendente</t>
        </is>
      </c>
      <c r="H71" s="26" t="inlineStr">
        <is>
          <t>Macaco (Silverfist/Zekoa) + zoo</t>
        </is>
      </c>
      <c r="I71" s="24">
        <f>IF(AND(C71&lt;&gt;"—",A71&gt;INÍCIO!$B$5),1,0)</f>
        <v/>
      </c>
      <c r="J71">
        <f>IF(C71&lt;&gt;"—",C71,J70)</f>
        <v/>
      </c>
      <c r="K71">
        <f>IF(C71&lt;&gt;"—",A71,K70)</f>
        <v/>
      </c>
    </row>
    <row r="72" ht="34" customHeight="1">
      <c r="A72" s="23" t="n">
        <v>69</v>
      </c>
      <c r="B72" s="19" t="inlineStr">
        <is>
          <t>Início do Atlas</t>
        </is>
      </c>
      <c r="C72" s="19" t="inlineStr">
        <is>
          <t>—</t>
        </is>
      </c>
      <c r="D72" s="19" t="inlineStr">
        <is>
          <t>Dano base da main-hand (Catha) → +Minion Skills, Spirit, Vida</t>
        </is>
      </c>
      <c r="E72" s="19" t="inlineStr">
        <is>
          <t>Evergrasping Ring ×2 · armaduras Runeforged (Runic Ward para o Refutation)</t>
        </is>
      </c>
      <c r="F72" s="19" t="inlineStr">
        <is>
          <t>Sylvan's Effigy assim que tiver ~1 div (substitui o Rattling Sceptre)</t>
        </is>
      </c>
      <c r="G72" s="23" t="inlineStr">
        <is>
          <t>Pendente</t>
        </is>
      </c>
      <c r="H72" s="19" t="inlineStr">
        <is>
          <t>Macaco (Silverfist/Zekoa) + zoo</t>
        </is>
      </c>
      <c r="I72" s="24">
        <f>IF(AND(C72&lt;&gt;"—",A72&gt;INÍCIO!$B$5),1,0)</f>
        <v/>
      </c>
      <c r="J72">
        <f>IF(C72&lt;&gt;"—",C72,J71)</f>
        <v/>
      </c>
      <c r="K72">
        <f>IF(C72&lt;&gt;"—",A72,K71)</f>
        <v/>
      </c>
    </row>
    <row r="73" ht="19" customHeight="1">
      <c r="A73" s="25" t="n">
        <v>70</v>
      </c>
      <c r="B73" s="26" t="inlineStr">
        <is>
          <t>Início do Atlas</t>
        </is>
      </c>
      <c r="C73" s="26" t="inlineStr">
        <is>
          <t>—</t>
        </is>
      </c>
      <c r="D73" s="26" t="inlineStr">
        <is>
          <t>Dano base da main-hand (Catha) → +Minion Skills, Spirit, Vida</t>
        </is>
      </c>
      <c r="E73" s="26" t="inlineStr">
        <is>
          <t>Jewels: From Nothing · Undying Hate</t>
        </is>
      </c>
      <c r="F73" s="26" t="inlineStr">
        <is>
          <t>From Nothing · Undying Hate</t>
        </is>
      </c>
      <c r="G73" s="25" t="inlineStr">
        <is>
          <t>Pendente</t>
        </is>
      </c>
      <c r="H73" s="26" t="inlineStr">
        <is>
          <t>Macaco (Silverfist/Zekoa) + zoo</t>
        </is>
      </c>
      <c r="I73" s="24">
        <f>IF(AND(C73&lt;&gt;"—",A73&gt;INÍCIO!$B$5),1,0)</f>
        <v/>
      </c>
      <c r="J73">
        <f>IF(C73&lt;&gt;"—",C73,J72)</f>
        <v/>
      </c>
      <c r="K73">
        <f>IF(C73&lt;&gt;"—",A73,K72)</f>
        <v/>
      </c>
    </row>
    <row r="74" ht="34" customHeight="1">
      <c r="A74" s="23" t="n">
        <v>71</v>
      </c>
      <c r="B74" s="19" t="inlineStr">
        <is>
          <t>Início do Atlas</t>
        </is>
      </c>
      <c r="C74" s="19" t="inlineStr">
        <is>
          <t>—</t>
        </is>
      </c>
      <c r="D74" s="19" t="inlineStr">
        <is>
          <t>Dano base da main-hand (Catha) → +Minion Skills, Spirit, Vida</t>
        </is>
      </c>
      <c r="E74" s="19" t="inlineStr">
        <is>
          <t>Trenchtimbre + Rattling Sceptre até juntar para a Chober Chaber</t>
        </is>
      </c>
      <c r="F74" s="19" t="inlineStr">
        <is>
          <t>Chober Chaber (Runeforged) + Rattling Sceptre + Treefingers + The Vertex</t>
        </is>
      </c>
      <c r="G74" s="23" t="inlineStr">
        <is>
          <t>Pendente</t>
        </is>
      </c>
      <c r="H74" s="19" t="inlineStr">
        <is>
          <t>Macaco (Silverfist/Zekoa) + zoo</t>
        </is>
      </c>
      <c r="I74" s="24">
        <f>IF(AND(C74&lt;&gt;"—",A74&gt;INÍCIO!$B$5),1,0)</f>
        <v/>
      </c>
      <c r="J74">
        <f>IF(C74&lt;&gt;"—",C74,J73)</f>
        <v/>
      </c>
      <c r="K74">
        <f>IF(C74&lt;&gt;"—",A74,K73)</f>
        <v/>
      </c>
    </row>
    <row r="75" ht="34" customHeight="1">
      <c r="A75" s="25" t="n">
        <v>72</v>
      </c>
      <c r="B75" s="26" t="inlineStr">
        <is>
          <t>Início do Atlas</t>
        </is>
      </c>
      <c r="C75" s="27" t="inlineStr">
        <is>
          <t>Caça ao Zekoa (Riverside/Rupture + tablets de mod extra).</t>
        </is>
      </c>
      <c r="D75" s="26" t="inlineStr">
        <is>
          <t>Dano base da main-hand (Catha) → +Minion Skills, Spirit, Vida</t>
        </is>
      </c>
      <c r="E75" s="26" t="inlineStr">
        <is>
          <t>Evergrasping Ring ×2 · armaduras Runeforged (Runic Ward para o Refutation)</t>
        </is>
      </c>
      <c r="F75" s="26" t="inlineStr">
        <is>
          <t>Sylvan's Effigy assim que tiver ~1 div (substitui o Rattling Sceptre)</t>
        </is>
      </c>
      <c r="G75" s="25" t="inlineStr">
        <is>
          <t>Pendente</t>
        </is>
      </c>
      <c r="H75" s="26" t="inlineStr">
        <is>
          <t>Macaco (Silverfist/Zekoa) + zoo</t>
        </is>
      </c>
      <c r="I75" s="24">
        <f>IF(AND(C75&lt;&gt;"—",A75&gt;INÍCIO!$B$5),1,0)</f>
        <v/>
      </c>
      <c r="J75">
        <f>IF(C75&lt;&gt;"—",C75,J74)</f>
        <v/>
      </c>
      <c r="K75">
        <f>IF(C75&lt;&gt;"—",A75,K74)</f>
        <v/>
      </c>
    </row>
    <row r="76" ht="19" customHeight="1">
      <c r="A76" s="23" t="n">
        <v>73</v>
      </c>
      <c r="B76" s="19" t="inlineStr">
        <is>
          <t>Início do Atlas</t>
        </is>
      </c>
      <c r="C76" s="19" t="inlineStr">
        <is>
          <t>—</t>
        </is>
      </c>
      <c r="D76" s="19" t="inlineStr">
        <is>
          <t>Dano base da main-hand (Catha) → +Minion Skills, Spirit, Vida</t>
        </is>
      </c>
      <c r="E76" s="19" t="inlineStr">
        <is>
          <t>Jewels: From Nothing · Undying Hate</t>
        </is>
      </c>
      <c r="F76" s="19" t="inlineStr">
        <is>
          <t>From Nothing · Undying Hate</t>
        </is>
      </c>
      <c r="G76" s="23" t="inlineStr">
        <is>
          <t>Pendente</t>
        </is>
      </c>
      <c r="H76" s="19" t="inlineStr">
        <is>
          <t>Macaco (Silverfist/Zekoa) + zoo</t>
        </is>
      </c>
      <c r="I76" s="24">
        <f>IF(AND(C76&lt;&gt;"—",A76&gt;INÍCIO!$B$5),1,0)</f>
        <v/>
      </c>
      <c r="J76">
        <f>IF(C76&lt;&gt;"—",C76,J75)</f>
        <v/>
      </c>
      <c r="K76">
        <f>IF(C76&lt;&gt;"—",A76,K75)</f>
        <v/>
      </c>
    </row>
    <row r="77" ht="34" customHeight="1">
      <c r="A77" s="25" t="n">
        <v>74</v>
      </c>
      <c r="B77" s="26" t="inlineStr">
        <is>
          <t>Início do Atlas</t>
        </is>
      </c>
      <c r="C77" s="26" t="inlineStr">
        <is>
          <t>—</t>
        </is>
      </c>
      <c r="D77" s="26" t="inlineStr">
        <is>
          <t>Dano base da main-hand (Catha) → +Minion Skills, Spirit, Vida</t>
        </is>
      </c>
      <c r="E77" s="26" t="inlineStr">
        <is>
          <t>Trenchtimbre + Rattling Sceptre até juntar para a Chober Chaber</t>
        </is>
      </c>
      <c r="F77" s="26" t="inlineStr">
        <is>
          <t>Chober Chaber (Runeforged) + Rattling Sceptre + Treefingers + The Vertex</t>
        </is>
      </c>
      <c r="G77" s="25" t="inlineStr">
        <is>
          <t>Pendente</t>
        </is>
      </c>
      <c r="H77" s="26" t="inlineStr">
        <is>
          <t>Macaco (Silverfist/Zekoa) + zoo</t>
        </is>
      </c>
      <c r="I77" s="24">
        <f>IF(AND(C77&lt;&gt;"—",A77&gt;INÍCIO!$B$5),1,0)</f>
        <v/>
      </c>
      <c r="J77">
        <f>IF(C77&lt;&gt;"—",C77,J76)</f>
        <v/>
      </c>
      <c r="K77">
        <f>IF(C77&lt;&gt;"—",A77,K76)</f>
        <v/>
      </c>
    </row>
    <row r="78" ht="34" customHeight="1">
      <c r="A78" s="23" t="n">
        <v>75</v>
      </c>
      <c r="B78" s="19" t="inlineStr">
        <is>
          <t>Início do Atlas</t>
        </is>
      </c>
      <c r="C78" s="18" t="inlineStr">
        <is>
          <t>Giant's Blood na árvore (ou Flesh Crucible) — solte a Treefingers se quiser outras luvas.</t>
        </is>
      </c>
      <c r="D78" s="19" t="inlineStr">
        <is>
          <t>Dano base da main-hand (Catha) → +Minion Skills, Spirit, Vida</t>
        </is>
      </c>
      <c r="E78" s="19" t="inlineStr">
        <is>
          <t>Evergrasping Ring ×2 · armaduras Runeforged (Runic Ward para o Refutation)</t>
        </is>
      </c>
      <c r="F78" s="19" t="inlineStr">
        <is>
          <t>Sylvan's Effigy assim que tiver ~1 div (substitui o Rattling Sceptre)</t>
        </is>
      </c>
      <c r="G78" s="23" t="inlineStr">
        <is>
          <t>Pendente</t>
        </is>
      </c>
      <c r="H78" s="19" t="inlineStr">
        <is>
          <t>Macaco (Silverfist/Zekoa) + zoo</t>
        </is>
      </c>
      <c r="I78" s="24">
        <f>IF(AND(C78&lt;&gt;"—",A78&gt;INÍCIO!$B$5),1,0)</f>
        <v/>
      </c>
      <c r="J78">
        <f>IF(C78&lt;&gt;"—",C78,J77)</f>
        <v/>
      </c>
      <c r="K78">
        <f>IF(C78&lt;&gt;"—",A78,K77)</f>
        <v/>
      </c>
    </row>
    <row r="79" ht="19" customHeight="1">
      <c r="A79" s="25" t="n">
        <v>76</v>
      </c>
      <c r="B79" s="26" t="inlineStr">
        <is>
          <t>Início do Atlas</t>
        </is>
      </c>
      <c r="C79" s="26" t="inlineStr">
        <is>
          <t>—</t>
        </is>
      </c>
      <c r="D79" s="26" t="inlineStr">
        <is>
          <t>Dano base da main-hand (Catha) → +Minion Skills, Spirit, Vida</t>
        </is>
      </c>
      <c r="E79" s="26" t="inlineStr">
        <is>
          <t>Jewels: From Nothing · Undying Hate</t>
        </is>
      </c>
      <c r="F79" s="26" t="inlineStr">
        <is>
          <t>From Nothing · Undying Hate</t>
        </is>
      </c>
      <c r="G79" s="25" t="inlineStr">
        <is>
          <t>Pendente</t>
        </is>
      </c>
      <c r="H79" s="26" t="inlineStr">
        <is>
          <t>Macaco (Silverfist/Zekoa) + zoo</t>
        </is>
      </c>
      <c r="I79" s="24">
        <f>IF(AND(C79&lt;&gt;"—",A79&gt;INÍCIO!$B$5),1,0)</f>
        <v/>
      </c>
      <c r="J79">
        <f>IF(C79&lt;&gt;"—",C79,J78)</f>
        <v/>
      </c>
      <c r="K79">
        <f>IF(C79&lt;&gt;"—",A79,K78)</f>
        <v/>
      </c>
    </row>
    <row r="80" ht="34" customHeight="1">
      <c r="A80" s="23" t="n">
        <v>77</v>
      </c>
      <c r="B80" s="19" t="inlineStr">
        <is>
          <t>Início do Atlas</t>
        </is>
      </c>
      <c r="C80" s="19" t="inlineStr">
        <is>
          <t>—</t>
        </is>
      </c>
      <c r="D80" s="19" t="inlineStr">
        <is>
          <t>Dano base da main-hand (Catha) → +Minion Skills, Spirit, Vida</t>
        </is>
      </c>
      <c r="E80" s="19" t="inlineStr">
        <is>
          <t>Trenchtimbre + Rattling Sceptre até juntar para a Chober Chaber</t>
        </is>
      </c>
      <c r="F80" s="19" t="inlineStr">
        <is>
          <t>Chober Chaber (Runeforged) + Rattling Sceptre + Treefingers + The Vertex</t>
        </is>
      </c>
      <c r="G80" s="23" t="inlineStr">
        <is>
          <t>Pendente</t>
        </is>
      </c>
      <c r="H80" s="19" t="inlineStr">
        <is>
          <t>Macaco (Silverfist/Zekoa) + zoo</t>
        </is>
      </c>
      <c r="I80" s="24">
        <f>IF(AND(C80&lt;&gt;"—",A80&gt;INÍCIO!$B$5),1,0)</f>
        <v/>
      </c>
      <c r="J80">
        <f>IF(C80&lt;&gt;"—",C80,J79)</f>
        <v/>
      </c>
      <c r="K80">
        <f>IF(C80&lt;&gt;"—",A80,K79)</f>
        <v/>
      </c>
    </row>
    <row r="81" ht="34" customHeight="1">
      <c r="A81" s="25" t="n">
        <v>78</v>
      </c>
      <c r="B81" s="26" t="inlineStr">
        <is>
          <t>T15+ (Effigy)</t>
        </is>
      </c>
      <c r="C81" s="27" t="inlineStr">
        <is>
          <t>Sylvan's Effigy (~1 div): Azmerian Wolf, Discipline, companions ilimitados.</t>
        </is>
      </c>
      <c r="D81" s="26" t="inlineStr">
        <is>
          <t>Giant's Blood na árvore (maça de 2 mãos + sceptre), Sylvan's Effigy (companions ilimitados + Azmerian Wolf), Forgotten Warden (Spirit Vessel grátis). Os esqueletos saem, porque o Rattling Sceptre dá lugar ao Effigy. O Skeletal Cleric vira o alvo do Pain Offering.</t>
        </is>
      </c>
      <c r="E81" s="26" t="inlineStr">
        <is>
          <t>Chober Chaber + Sylvan's Effigy</t>
        </is>
      </c>
      <c r="F81" s="26" t="inlineStr">
        <is>
          <t>Mesmo set + Idolatry com Idols em tudo</t>
        </is>
      </c>
      <c r="G81" s="25" t="inlineStr">
        <is>
          <t>Pendente</t>
        </is>
      </c>
      <c r="H81" s="26" t="inlineStr">
        <is>
          <t>Zekoa + Azmerian Wolf + zoo</t>
        </is>
      </c>
      <c r="I81" s="24">
        <f>IF(AND(C81&lt;&gt;"—",A81&gt;INÍCIO!$B$5),1,0)</f>
        <v/>
      </c>
      <c r="J81">
        <f>IF(C81&lt;&gt;"—",C81,J80)</f>
        <v/>
      </c>
      <c r="K81">
        <f>IF(C81&lt;&gt;"—",A81,K80)</f>
        <v/>
      </c>
    </row>
    <row r="82" ht="19" customHeight="1">
      <c r="A82" s="23" t="n">
        <v>79</v>
      </c>
      <c r="B82" s="19" t="inlineStr">
        <is>
          <t>T15+ (Effigy)</t>
        </is>
      </c>
      <c r="C82" s="19" t="inlineStr">
        <is>
          <t>—</t>
        </is>
      </c>
      <c r="D82" s="19" t="inlineStr">
        <is>
          <t>Dano base da Chober Chaber → +Minion Skills, Spirit, Evasion/Deflection</t>
        </is>
      </c>
      <c r="E82" s="19" t="inlineStr">
        <is>
          <t>Forgotten Warden · Lavianga's Spirits</t>
        </is>
      </c>
      <c r="F82" s="19" t="inlineStr">
        <is>
          <t>Prism of Belief +2/+3 Tamed Companion</t>
        </is>
      </c>
      <c r="G82" s="23" t="inlineStr">
        <is>
          <t>Pendente</t>
        </is>
      </c>
      <c r="H82" s="19" t="inlineStr">
        <is>
          <t>Zekoa + Azmerian Wolf + zoo</t>
        </is>
      </c>
      <c r="I82" s="24">
        <f>IF(AND(C82&lt;&gt;"—",A82&gt;INÍCIO!$B$5),1,0)</f>
        <v/>
      </c>
      <c r="J82">
        <f>IF(C82&lt;&gt;"—",C82,J81)</f>
        <v/>
      </c>
      <c r="K82">
        <f>IF(C82&lt;&gt;"—",A82,K81)</f>
        <v/>
      </c>
    </row>
    <row r="83" ht="34" customHeight="1">
      <c r="A83" s="25" t="n">
        <v>80</v>
      </c>
      <c r="B83" s="26" t="inlineStr">
        <is>
          <t>T15+ (Effigy)</t>
        </is>
      </c>
      <c r="C83" s="27" t="inlineStr">
        <is>
          <t>Forgotten Warden: Spirit Vessel com Furious Slam + Arctic Howl.</t>
        </is>
      </c>
      <c r="D83" s="26" t="inlineStr">
        <is>
          <t>Dano base da Chober Chaber → +Minion Skills, Spirit, Evasion/Deflection</t>
        </is>
      </c>
      <c r="E83" s="26" t="inlineStr">
        <is>
          <t>Spiteful Floret no weapon set 2 (Sanguine Revelry)</t>
        </is>
      </c>
      <c r="F83" s="26" t="inlineStr">
        <is>
          <t>Morior Invictus se preferir tank</t>
        </is>
      </c>
      <c r="G83" s="25" t="inlineStr">
        <is>
          <t>Pendente</t>
        </is>
      </c>
      <c r="H83" s="26" t="inlineStr">
        <is>
          <t>Zekoa + Azmerian Wolf + zoo</t>
        </is>
      </c>
      <c r="I83" s="24">
        <f>IF(AND(C83&lt;&gt;"—",A83&gt;INÍCIO!$B$5),1,0)</f>
        <v/>
      </c>
      <c r="J83">
        <f>IF(C83&lt;&gt;"—",C83,J82)</f>
        <v/>
      </c>
      <c r="K83">
        <f>IF(C83&lt;&gt;"—",A83,K82)</f>
        <v/>
      </c>
    </row>
    <row r="84" ht="34" customHeight="1">
      <c r="A84" s="23" t="n">
        <v>81</v>
      </c>
      <c r="B84" s="19" t="inlineStr">
        <is>
          <t>T15+ (Effigy)</t>
        </is>
      </c>
      <c r="C84" s="19" t="inlineStr">
        <is>
          <t>—</t>
        </is>
      </c>
      <c r="D84" s="19" t="inlineStr">
        <is>
          <t>Dano base da Chober Chaber → +Minion Skills, Spirit, Evasion/Deflection</t>
        </is>
      </c>
      <c r="E84" s="19" t="inlineStr">
        <is>
          <t>Jewels: Controlled Metamorphosis · Megalomaniac · From Nothing</t>
        </is>
      </c>
      <c r="F84" s="19" t="inlineStr">
        <is>
          <t>Mesmo set + Idolatry com Idols em tudo</t>
        </is>
      </c>
      <c r="G84" s="23" t="inlineStr">
        <is>
          <t>Pendente</t>
        </is>
      </c>
      <c r="H84" s="19" t="inlineStr">
        <is>
          <t>Zekoa + Azmerian Wolf + zoo</t>
        </is>
      </c>
      <c r="I84" s="24">
        <f>IF(AND(C84&lt;&gt;"—",A84&gt;INÍCIO!$B$5),1,0)</f>
        <v/>
      </c>
      <c r="J84">
        <f>IF(C84&lt;&gt;"—",C84,J83)</f>
        <v/>
      </c>
      <c r="K84">
        <f>IF(C84&lt;&gt;"—",A84,K83)</f>
        <v/>
      </c>
    </row>
    <row r="85" ht="34" customHeight="1">
      <c r="A85" s="25" t="n">
        <v>82</v>
      </c>
      <c r="B85" s="26" t="inlineStr">
        <is>
          <t>T15+ (Effigy)</t>
        </is>
      </c>
      <c r="C85" s="27" t="inlineStr">
        <is>
          <t>Skeletal Cleric vira alvo do Pain Offering (Sacrificial Lamb II + Brutus' Brain no Pain Offering).</t>
        </is>
      </c>
      <c r="D85" s="26" t="inlineStr">
        <is>
          <t>Dano base da Chober Chaber → +Minion Skills, Spirit, Evasion/Deflection</t>
        </is>
      </c>
      <c r="E85" s="26" t="inlineStr">
        <is>
          <t>Chober Chaber + Sylvan's Effigy</t>
        </is>
      </c>
      <c r="F85" s="26" t="inlineStr">
        <is>
          <t>Prism of Belief +2/+3 Tamed Companion</t>
        </is>
      </c>
      <c r="G85" s="25" t="inlineStr">
        <is>
          <t>Pendente</t>
        </is>
      </c>
      <c r="H85" s="26" t="inlineStr">
        <is>
          <t>Zekoa + Azmerian Wolf + zoo</t>
        </is>
      </c>
      <c r="I85" s="24">
        <f>IF(AND(C85&lt;&gt;"—",A85&gt;INÍCIO!$B$5),1,0)</f>
        <v/>
      </c>
      <c r="J85">
        <f>IF(C85&lt;&gt;"—",C85,J84)</f>
        <v/>
      </c>
      <c r="K85">
        <f>IF(C85&lt;&gt;"—",A85,K84)</f>
        <v/>
      </c>
    </row>
    <row r="86" ht="19" customHeight="1">
      <c r="A86" s="23" t="n">
        <v>83</v>
      </c>
      <c r="B86" s="19" t="inlineStr">
        <is>
          <t>T15+ (Effigy)</t>
        </is>
      </c>
      <c r="C86" s="19" t="inlineStr">
        <is>
          <t>—</t>
        </is>
      </c>
      <c r="D86" s="19" t="inlineStr">
        <is>
          <t>Dano base da Chober Chaber → +Minion Skills, Spirit, Evasion/Deflection</t>
        </is>
      </c>
      <c r="E86" s="19" t="inlineStr">
        <is>
          <t>Forgotten Warden · Lavianga's Spirits</t>
        </is>
      </c>
      <c r="F86" s="19" t="inlineStr">
        <is>
          <t>Morior Invictus se preferir tank</t>
        </is>
      </c>
      <c r="G86" s="23" t="inlineStr">
        <is>
          <t>Pendente</t>
        </is>
      </c>
      <c r="H86" s="19" t="inlineStr">
        <is>
          <t>Zekoa + Azmerian Wolf + zoo</t>
        </is>
      </c>
      <c r="I86" s="24">
        <f>IF(AND(C86&lt;&gt;"—",A86&gt;INÍCIO!$B$5),1,0)</f>
        <v/>
      </c>
      <c r="J86">
        <f>IF(C86&lt;&gt;"—",C86,J85)</f>
        <v/>
      </c>
      <c r="K86">
        <f>IF(C86&lt;&gt;"—",A86,K85)</f>
        <v/>
      </c>
    </row>
    <row r="87" ht="34" customHeight="1">
      <c r="A87" s="25" t="n">
        <v>84</v>
      </c>
      <c r="B87" s="26" t="inlineStr">
        <is>
          <t>T15+ (Effigy)</t>
        </is>
      </c>
      <c r="C87" s="27" t="inlineStr">
        <is>
          <t>Mace Strike + Einhar's Beastrite; Spiteful Floret no weapon set 2.</t>
        </is>
      </c>
      <c r="D87" s="26" t="inlineStr">
        <is>
          <t>Dano base da Chober Chaber → +Minion Skills, Spirit, Evasion/Deflection</t>
        </is>
      </c>
      <c r="E87" s="26" t="inlineStr">
        <is>
          <t>Spiteful Floret no weapon set 2 (Sanguine Revelry)</t>
        </is>
      </c>
      <c r="F87" s="26" t="inlineStr">
        <is>
          <t>Mesmo set + Idolatry com Idols em tudo</t>
        </is>
      </c>
      <c r="G87" s="25" t="inlineStr">
        <is>
          <t>Pendente</t>
        </is>
      </c>
      <c r="H87" s="26" t="inlineStr">
        <is>
          <t>Zekoa + Azmerian Wolf + zoo</t>
        </is>
      </c>
      <c r="I87" s="24">
        <f>IF(AND(C87&lt;&gt;"—",A87&gt;INÍCIO!$B$5),1,0)</f>
        <v/>
      </c>
      <c r="J87">
        <f>IF(C87&lt;&gt;"—",C87,J86)</f>
        <v/>
      </c>
      <c r="K87">
        <f>IF(C87&lt;&gt;"—",A87,K86)</f>
        <v/>
      </c>
    </row>
    <row r="88" ht="34" customHeight="1">
      <c r="A88" s="23" t="n">
        <v>85</v>
      </c>
      <c r="B88" s="19" t="inlineStr">
        <is>
          <t>T15+ (Effigy)</t>
        </is>
      </c>
      <c r="C88" s="19" t="inlineStr">
        <is>
          <t>—</t>
        </is>
      </c>
      <c r="D88" s="19" t="inlineStr">
        <is>
          <t>Dano base da Chober Chaber → +Minion Skills, Spirit, Evasion/Deflection</t>
        </is>
      </c>
      <c r="E88" s="19" t="inlineStr">
        <is>
          <t>Jewels: Controlled Metamorphosis · Megalomaniac · From Nothing</t>
        </is>
      </c>
      <c r="F88" s="19" t="inlineStr">
        <is>
          <t>Prism of Belief +2/+3 Tamed Companion</t>
        </is>
      </c>
      <c r="G88" s="23" t="inlineStr">
        <is>
          <t>Pendente</t>
        </is>
      </c>
      <c r="H88" s="19" t="inlineStr">
        <is>
          <t>Zekoa + Azmerian Wolf + zoo</t>
        </is>
      </c>
      <c r="I88" s="24">
        <f>IF(AND(C88&lt;&gt;"—",A88&gt;INÍCIO!$B$5),1,0)</f>
        <v/>
      </c>
      <c r="J88">
        <f>IF(C88&lt;&gt;"—",C88,J87)</f>
        <v/>
      </c>
      <c r="K88">
        <f>IF(C88&lt;&gt;"—",A88,K87)</f>
        <v/>
      </c>
    </row>
    <row r="89" ht="19" customHeight="1">
      <c r="A89" s="25" t="n">
        <v>86</v>
      </c>
      <c r="B89" s="26" t="inlineStr">
        <is>
          <t>T15+ (Effigy)</t>
        </is>
      </c>
      <c r="C89" s="27" t="inlineStr">
        <is>
          <t>Com Sylvan's Effigy: 3 aura bots (Haste/Physical/ES).</t>
        </is>
      </c>
      <c r="D89" s="26" t="inlineStr">
        <is>
          <t>Dano base da Chober Chaber → +Minion Skills, Spirit, Evasion/Deflection</t>
        </is>
      </c>
      <c r="E89" s="26" t="inlineStr">
        <is>
          <t>Chober Chaber + Sylvan's Effigy</t>
        </is>
      </c>
      <c r="F89" s="26" t="inlineStr">
        <is>
          <t>Morior Invictus se preferir tank</t>
        </is>
      </c>
      <c r="G89" s="25" t="inlineStr">
        <is>
          <t>Pendente</t>
        </is>
      </c>
      <c r="H89" s="26" t="inlineStr">
        <is>
          <t>Zekoa + Azmerian Wolf + zoo</t>
        </is>
      </c>
      <c r="I89" s="24">
        <f>IF(AND(C89&lt;&gt;"—",A89&gt;INÍCIO!$B$5),1,0)</f>
        <v/>
      </c>
      <c r="J89">
        <f>IF(C89&lt;&gt;"—",C89,J88)</f>
        <v/>
      </c>
      <c r="K89">
        <f>IF(C89&lt;&gt;"—",A89,K88)</f>
        <v/>
      </c>
    </row>
    <row r="90" ht="19" customHeight="1">
      <c r="A90" s="23" t="n">
        <v>87</v>
      </c>
      <c r="B90" s="19" t="inlineStr">
        <is>
          <t>T15+ (Effigy)</t>
        </is>
      </c>
      <c r="C90" s="19" t="inlineStr">
        <is>
          <t>—</t>
        </is>
      </c>
      <c r="D90" s="19" t="inlineStr">
        <is>
          <t>Dano base da Chober Chaber → +Minion Skills, Spirit, Evasion/Deflection</t>
        </is>
      </c>
      <c r="E90" s="19" t="inlineStr">
        <is>
          <t>Forgotten Warden · Lavianga's Spirits</t>
        </is>
      </c>
      <c r="F90" s="19" t="inlineStr">
        <is>
          <t>Mesmo set + Idolatry com Idols em tudo</t>
        </is>
      </c>
      <c r="G90" s="23" t="inlineStr">
        <is>
          <t>Pendente</t>
        </is>
      </c>
      <c r="H90" s="19" t="inlineStr">
        <is>
          <t>Zekoa + Azmerian Wolf + zoo</t>
        </is>
      </c>
      <c r="I90" s="24">
        <f>IF(AND(C90&lt;&gt;"—",A90&gt;INÍCIO!$B$5),1,0)</f>
        <v/>
      </c>
      <c r="J90">
        <f>IF(C90&lt;&gt;"—",C90,J89)</f>
        <v/>
      </c>
      <c r="K90">
        <f>IF(C90&lt;&gt;"—",A90,K89)</f>
        <v/>
      </c>
    </row>
    <row r="91" ht="34" customHeight="1">
      <c r="A91" s="25" t="n">
        <v>88</v>
      </c>
      <c r="B91" s="26" t="inlineStr">
        <is>
          <t>T15+ (Effigy)</t>
        </is>
      </c>
      <c r="C91" s="26" t="inlineStr">
        <is>
          <t>—</t>
        </is>
      </c>
      <c r="D91" s="26" t="inlineStr">
        <is>
          <t>Dano base da Chober Chaber → +Minion Skills, Spirit, Evasion/Deflection</t>
        </is>
      </c>
      <c r="E91" s="26" t="inlineStr">
        <is>
          <t>Spiteful Floret no weapon set 2 (Sanguine Revelry)</t>
        </is>
      </c>
      <c r="F91" s="26" t="inlineStr">
        <is>
          <t>Prism of Belief +2/+3 Tamed Companion</t>
        </is>
      </c>
      <c r="G91" s="25" t="inlineStr">
        <is>
          <t>Pendente</t>
        </is>
      </c>
      <c r="H91" s="26" t="inlineStr">
        <is>
          <t>Zekoa + Azmerian Wolf + zoo</t>
        </is>
      </c>
      <c r="I91" s="24">
        <f>IF(AND(C91&lt;&gt;"—",A91&gt;INÍCIO!$B$5),1,0)</f>
        <v/>
      </c>
      <c r="J91">
        <f>IF(C91&lt;&gt;"—",C91,J90)</f>
        <v/>
      </c>
      <c r="K91">
        <f>IF(C91&lt;&gt;"—",A91,K90)</f>
        <v/>
      </c>
    </row>
    <row r="92" ht="34" customHeight="1">
      <c r="A92" s="23" t="n">
        <v>89</v>
      </c>
      <c r="B92" s="19" t="inlineStr">
        <is>
          <t>T15+ (Effigy)</t>
        </is>
      </c>
      <c r="C92" s="19" t="inlineStr">
        <is>
          <t>—</t>
        </is>
      </c>
      <c r="D92" s="19" t="inlineStr">
        <is>
          <t>Dano base da Chober Chaber → +Minion Skills, Spirit, Evasion/Deflection</t>
        </is>
      </c>
      <c r="E92" s="19" t="inlineStr">
        <is>
          <t>Jewels: Controlled Metamorphosis · Megalomaniac · From Nothing</t>
        </is>
      </c>
      <c r="F92" s="19" t="inlineStr">
        <is>
          <t>Morior Invictus se preferir tank</t>
        </is>
      </c>
      <c r="G92" s="23" t="inlineStr">
        <is>
          <t>Pendente</t>
        </is>
      </c>
      <c r="H92" s="19" t="inlineStr">
        <is>
          <t>Zekoa + Azmerian Wolf + zoo</t>
        </is>
      </c>
      <c r="I92" s="24">
        <f>IF(AND(C92&lt;&gt;"—",A92&gt;INÍCIO!$B$5),1,0)</f>
        <v/>
      </c>
      <c r="J92">
        <f>IF(C92&lt;&gt;"—",C92,J91)</f>
        <v/>
      </c>
      <c r="K92">
        <f>IF(C92&lt;&gt;"—",A92,K91)</f>
        <v/>
      </c>
    </row>
    <row r="93" ht="34" customHeight="1">
      <c r="A93" s="25" t="n">
        <v>90</v>
      </c>
      <c r="B93" s="26" t="inlineStr">
        <is>
          <t>Arbiter / Min-max</t>
        </is>
      </c>
      <c r="C93" s="27" t="inlineStr">
        <is>
          <t>Mind Over Matter + Lavianga's Spirits.</t>
        </is>
      </c>
      <c r="D93" s="26" t="inlineStr">
        <is>
          <t>Endgame do Mattjestic: Mind Over Matter (dano sai da mana primeiro), Mageblood e até 27 companions. O macaco vira o único DPS 'puro'; os outros são aura bots super defensivos.</t>
        </is>
      </c>
      <c r="E93" s="26" t="inlineStr">
        <is>
          <t>Setup do T15 + Mind Over Matter (Lavianga's Spirits sustenta)</t>
        </is>
      </c>
      <c r="F93" s="26" t="inlineStr">
        <is>
          <t>Mageblood · Kalandra's Touch · Rite of Passage</t>
        </is>
      </c>
      <c r="G93" s="25" t="inlineStr">
        <is>
          <t>Pendente</t>
        </is>
      </c>
      <c r="H93" s="26" t="inlineStr">
        <is>
          <t>Zoo inteiro</t>
        </is>
      </c>
      <c r="I93" s="24">
        <f>IF(AND(C93&lt;&gt;"—",A93&gt;INÍCIO!$B$5),1,0)</f>
        <v/>
      </c>
      <c r="J93">
        <f>IF(C93&lt;&gt;"—",C93,J92)</f>
        <v/>
      </c>
      <c r="K93">
        <f>IF(C93&lt;&gt;"—",A93,K92)</f>
        <v/>
      </c>
    </row>
    <row r="94" ht="49" customHeight="1">
      <c r="A94" s="23" t="n">
        <v>91</v>
      </c>
      <c r="B94" s="19" t="inlineStr">
        <is>
          <t>Arbiter / Min-max</t>
        </is>
      </c>
      <c r="C94" s="19" t="inlineStr">
        <is>
          <t>—</t>
        </is>
      </c>
      <c r="D94" s="19" t="inlineStr">
        <is>
          <t>Mana (Mind Over Matter) → +Minion Skills, Spirit, Evasion/Deflection</t>
        </is>
      </c>
      <c r="E94" s="19" t="inlineStr">
        <is>
          <t>Charms: The Fall of the Axe · Nascent Hope · Beira's Anguish</t>
        </is>
      </c>
      <c r="F94" s="19" t="inlineStr">
        <is>
          <t>Runeforged Pariah Mask · Drakeskin Boots · Barbed Bracers (rares/runeforged do Mattjestic)</t>
        </is>
      </c>
      <c r="G94" s="23" t="inlineStr">
        <is>
          <t>Pendente</t>
        </is>
      </c>
      <c r="H94" s="19" t="inlineStr">
        <is>
          <t>Zoo inteiro</t>
        </is>
      </c>
      <c r="I94" s="24">
        <f>IF(AND(C94&lt;&gt;"—",A94&gt;INÍCIO!$B$5),1,0)</f>
        <v/>
      </c>
      <c r="J94">
        <f>IF(C94&lt;&gt;"—",C94,J93)</f>
        <v/>
      </c>
      <c r="K94">
        <f>IF(C94&lt;&gt;"—",A94,K93)</f>
        <v/>
      </c>
    </row>
    <row r="95" ht="34" customHeight="1">
      <c r="A95" s="25" t="n">
        <v>92</v>
      </c>
      <c r="B95" s="26" t="inlineStr">
        <is>
          <t>Arbiter / Min-max</t>
        </is>
      </c>
      <c r="C95" s="26" t="inlineStr">
        <is>
          <t>—</t>
        </is>
      </c>
      <c r="D95" s="26" t="inlineStr">
        <is>
          <t>Mana (Mind Over Matter) → +Minion Skills, Spirit, Evasion/Deflection</t>
        </is>
      </c>
      <c r="E95" s="26" t="inlineStr">
        <is>
          <t>Setup do T15 + Mind Over Matter (Lavianga's Spirits sustenta)</t>
        </is>
      </c>
      <c r="F95" s="26" t="inlineStr">
        <is>
          <t>Variante 12m: Morior Invictus + 2× Chober Chaber (weapon swap)</t>
        </is>
      </c>
      <c r="G95" s="25" t="inlineStr">
        <is>
          <t>Pendente</t>
        </is>
      </c>
      <c r="H95" s="26" t="inlineStr">
        <is>
          <t>Zoo inteiro</t>
        </is>
      </c>
      <c r="I95" s="24">
        <f>IF(AND(C95&lt;&gt;"—",A95&gt;INÍCIO!$B$5),1,0)</f>
        <v/>
      </c>
      <c r="J95">
        <f>IF(C95&lt;&gt;"—",C95,J94)</f>
        <v/>
      </c>
      <c r="K95">
        <f>IF(C95&lt;&gt;"—",A95,K94)</f>
        <v/>
      </c>
    </row>
    <row r="96" ht="34" customHeight="1">
      <c r="A96" s="23" t="n">
        <v>93</v>
      </c>
      <c r="B96" s="19" t="inlineStr">
        <is>
          <t>Arbiter / Min-max</t>
        </is>
      </c>
      <c r="C96" s="19" t="inlineStr">
        <is>
          <t>—</t>
        </is>
      </c>
      <c r="D96" s="19" t="inlineStr">
        <is>
          <t>Mana (Mind Over Matter) → +Minion Skills, Spirit, Evasion/Deflection</t>
        </is>
      </c>
      <c r="E96" s="19" t="inlineStr">
        <is>
          <t>Charms: The Fall of the Axe · Nascent Hope · Beira's Anguish</t>
        </is>
      </c>
      <c r="F96" s="19" t="inlineStr">
        <is>
          <t>Mageblood · Kalandra's Touch · Rite of Passage</t>
        </is>
      </c>
      <c r="G96" s="23" t="inlineStr">
        <is>
          <t>Pendente</t>
        </is>
      </c>
      <c r="H96" s="19" t="inlineStr">
        <is>
          <t>Zoo inteiro</t>
        </is>
      </c>
      <c r="I96" s="24">
        <f>IF(AND(C96&lt;&gt;"—",A96&gt;INÍCIO!$B$5),1,0)</f>
        <v/>
      </c>
      <c r="J96">
        <f>IF(C96&lt;&gt;"—",C96,J95)</f>
        <v/>
      </c>
      <c r="K96">
        <f>IF(C96&lt;&gt;"—",A96,K95)</f>
        <v/>
      </c>
    </row>
    <row r="97" ht="49" customHeight="1">
      <c r="A97" s="25" t="n">
        <v>94</v>
      </c>
      <c r="B97" s="26" t="inlineStr">
        <is>
          <t>Arbiter / Min-max</t>
        </is>
      </c>
      <c r="C97" s="26" t="inlineStr">
        <is>
          <t>—</t>
        </is>
      </c>
      <c r="D97" s="26" t="inlineStr">
        <is>
          <t>Mana (Mind Over Matter) → +Minion Skills, Spirit, Evasion/Deflection</t>
        </is>
      </c>
      <c r="E97" s="26" t="inlineStr">
        <is>
          <t>Setup do T15 + Mind Over Matter (Lavianga's Spirits sustenta)</t>
        </is>
      </c>
      <c r="F97" s="26" t="inlineStr">
        <is>
          <t>Runeforged Pariah Mask · Drakeskin Boots · Barbed Bracers (rares/runeforged do Mattjestic)</t>
        </is>
      </c>
      <c r="G97" s="25" t="inlineStr">
        <is>
          <t>Pendente</t>
        </is>
      </c>
      <c r="H97" s="26" t="inlineStr">
        <is>
          <t>Zoo inteiro</t>
        </is>
      </c>
      <c r="I97" s="24">
        <f>IF(AND(C97&lt;&gt;"—",A97&gt;INÍCIO!$B$5),1,0)</f>
        <v/>
      </c>
      <c r="J97">
        <f>IF(C97&lt;&gt;"—",C97,J96)</f>
        <v/>
      </c>
      <c r="K97">
        <f>IF(C97&lt;&gt;"—",A97,K96)</f>
        <v/>
      </c>
    </row>
    <row r="98" ht="34" customHeight="1">
      <c r="A98" s="23" t="n">
        <v>95</v>
      </c>
      <c r="B98" s="19" t="inlineStr">
        <is>
          <t>Arbiter / Min-max</t>
        </is>
      </c>
      <c r="C98" s="18" t="inlineStr">
        <is>
          <t>Mageblood / Kalandra's Touch (luxo).</t>
        </is>
      </c>
      <c r="D98" s="19" t="inlineStr">
        <is>
          <t>Mana (Mind Over Matter) → +Minion Skills, Spirit, Evasion/Deflection</t>
        </is>
      </c>
      <c r="E98" s="19" t="inlineStr">
        <is>
          <t>Charms: The Fall of the Axe · Nascent Hope · Beira's Anguish</t>
        </is>
      </c>
      <c r="F98" s="19" t="inlineStr">
        <is>
          <t>Variante 12m: Morior Invictus + 2× Chober Chaber (weapon swap)</t>
        </is>
      </c>
      <c r="G98" s="23" t="inlineStr">
        <is>
          <t>Pendente</t>
        </is>
      </c>
      <c r="H98" s="19" t="inlineStr">
        <is>
          <t>Zoo inteiro</t>
        </is>
      </c>
      <c r="I98" s="24">
        <f>IF(AND(C98&lt;&gt;"—",A98&gt;INÍCIO!$B$5),1,0)</f>
        <v/>
      </c>
      <c r="J98">
        <f>IF(C98&lt;&gt;"—",C98,J97)</f>
        <v/>
      </c>
      <c r="K98">
        <f>IF(C98&lt;&gt;"—",A98,K97)</f>
        <v/>
      </c>
    </row>
    <row r="99" ht="34" customHeight="1">
      <c r="A99" s="25" t="n">
        <v>96</v>
      </c>
      <c r="B99" s="26" t="inlineStr">
        <is>
          <t>Arbiter / Min-max</t>
        </is>
      </c>
      <c r="C99" s="26" t="inlineStr">
        <is>
          <t>—</t>
        </is>
      </c>
      <c r="D99" s="26" t="inlineStr">
        <is>
          <t>Mana (Mind Over Matter) → +Minion Skills, Spirit, Evasion/Deflection</t>
        </is>
      </c>
      <c r="E99" s="26" t="inlineStr">
        <is>
          <t>Setup do T15 + Mind Over Matter (Lavianga's Spirits sustenta)</t>
        </is>
      </c>
      <c r="F99" s="26" t="inlineStr">
        <is>
          <t>Mageblood · Kalandra's Touch · Rite of Passage</t>
        </is>
      </c>
      <c r="G99" s="25" t="inlineStr">
        <is>
          <t>Pendente</t>
        </is>
      </c>
      <c r="H99" s="26" t="inlineStr">
        <is>
          <t>Zoo inteiro</t>
        </is>
      </c>
      <c r="I99" s="24">
        <f>IF(AND(C99&lt;&gt;"—",A99&gt;INÍCIO!$B$5),1,0)</f>
        <v/>
      </c>
      <c r="J99">
        <f>IF(C99&lt;&gt;"—",C99,J98)</f>
        <v/>
      </c>
      <c r="K99">
        <f>IF(C99&lt;&gt;"—",A99,K98)</f>
        <v/>
      </c>
    </row>
    <row r="100" ht="49" customHeight="1">
      <c r="A100" s="23" t="n">
        <v>97</v>
      </c>
      <c r="B100" s="19" t="inlineStr">
        <is>
          <t>Arbiter / Min-max</t>
        </is>
      </c>
      <c r="C100" s="19" t="inlineStr">
        <is>
          <t>—</t>
        </is>
      </c>
      <c r="D100" s="19" t="inlineStr">
        <is>
          <t>Mana (Mind Over Matter) → +Minion Skills, Spirit, Evasion/Deflection</t>
        </is>
      </c>
      <c r="E100" s="19" t="inlineStr">
        <is>
          <t>Charms: The Fall of the Axe · Nascent Hope · Beira's Anguish</t>
        </is>
      </c>
      <c r="F100" s="19" t="inlineStr">
        <is>
          <t>Runeforged Pariah Mask · Drakeskin Boots · Barbed Bracers (rares/runeforged do Mattjestic)</t>
        </is>
      </c>
      <c r="G100" s="23" t="inlineStr">
        <is>
          <t>Pendente</t>
        </is>
      </c>
      <c r="H100" s="19" t="inlineStr">
        <is>
          <t>Zoo inteiro</t>
        </is>
      </c>
      <c r="I100" s="24">
        <f>IF(AND(C100&lt;&gt;"—",A100&gt;INÍCIO!$B$5),1,0)</f>
        <v/>
      </c>
      <c r="J100">
        <f>IF(C100&lt;&gt;"—",C100,J99)</f>
        <v/>
      </c>
      <c r="K100">
        <f>IF(C100&lt;&gt;"—",A100,K99)</f>
        <v/>
      </c>
    </row>
    <row r="101" ht="34" customHeight="1">
      <c r="A101" s="25" t="n">
        <v>98</v>
      </c>
      <c r="B101" s="26" t="inlineStr">
        <is>
          <t>Arbiter / Min-max</t>
        </is>
      </c>
      <c r="C101" s="26" t="inlineStr">
        <is>
          <t>—</t>
        </is>
      </c>
      <c r="D101" s="26" t="inlineStr">
        <is>
          <t>Mana (Mind Over Matter) → +Minion Skills, Spirit, Evasion/Deflection</t>
        </is>
      </c>
      <c r="E101" s="26" t="inlineStr">
        <is>
          <t>Setup do T15 + Mind Over Matter (Lavianga's Spirits sustenta)</t>
        </is>
      </c>
      <c r="F101" s="26" t="inlineStr">
        <is>
          <t>Variante 12m: Morior Invictus + 2× Chober Chaber (weapon swap)</t>
        </is>
      </c>
      <c r="G101" s="25" t="inlineStr">
        <is>
          <t>Pendente</t>
        </is>
      </c>
      <c r="H101" s="26" t="inlineStr">
        <is>
          <t>Zoo inteiro</t>
        </is>
      </c>
      <c r="I101" s="24">
        <f>IF(AND(C101&lt;&gt;"—",A101&gt;INÍCIO!$B$5),1,0)</f>
        <v/>
      </c>
      <c r="J101">
        <f>IF(C101&lt;&gt;"—",C101,J100)</f>
        <v/>
      </c>
      <c r="K101">
        <f>IF(C101&lt;&gt;"—",A101,K100)</f>
        <v/>
      </c>
    </row>
    <row r="102" ht="34" customHeight="1">
      <c r="A102" s="23" t="n">
        <v>99</v>
      </c>
      <c r="B102" s="19" t="inlineStr">
        <is>
          <t>Arbiter / Min-max</t>
        </is>
      </c>
      <c r="C102" s="19" t="inlineStr">
        <is>
          <t>—</t>
        </is>
      </c>
      <c r="D102" s="19" t="inlineStr">
        <is>
          <t>Mana (Mind Over Matter) → +Minion Skills, Spirit, Evasion/Deflection</t>
        </is>
      </c>
      <c r="E102" s="19" t="inlineStr">
        <is>
          <t>Charms: The Fall of the Axe · Nascent Hope · Beira's Anguish</t>
        </is>
      </c>
      <c r="F102" s="19" t="inlineStr">
        <is>
          <t>Mageblood · Kalandra's Touch · Rite of Passage</t>
        </is>
      </c>
      <c r="G102" s="23" t="inlineStr">
        <is>
          <t>Pendente</t>
        </is>
      </c>
      <c r="H102" s="19" t="inlineStr">
        <is>
          <t>Zoo inteiro</t>
        </is>
      </c>
      <c r="I102" s="24">
        <f>IF(AND(C102&lt;&gt;"—",A102&gt;INÍCIO!$B$5),1,0)</f>
        <v/>
      </c>
      <c r="J102">
        <f>IF(C102&lt;&gt;"—",C102,J101)</f>
        <v/>
      </c>
      <c r="K102">
        <f>IF(C102&lt;&gt;"—",A102,K101)</f>
        <v/>
      </c>
    </row>
    <row r="103" ht="49" customHeight="1">
      <c r="A103" s="25" t="n">
        <v>100</v>
      </c>
      <c r="B103" s="26" t="inlineStr">
        <is>
          <t>Arbiter / Min-max</t>
        </is>
      </c>
      <c r="C103" s="27" t="inlineStr">
        <is>
          <t>Uber Arbiter.</t>
        </is>
      </c>
      <c r="D103" s="26" t="inlineStr">
        <is>
          <t>Mana (Mind Over Matter) → +Minion Skills, Spirit, Evasion/Deflection</t>
        </is>
      </c>
      <c r="E103" s="26" t="inlineStr">
        <is>
          <t>Setup do T15 + Mind Over Matter (Lavianga's Spirits sustenta)</t>
        </is>
      </c>
      <c r="F103" s="26" t="inlineStr">
        <is>
          <t>Runeforged Pariah Mask · Drakeskin Boots · Barbed Bracers (rares/runeforged do Mattjestic)</t>
        </is>
      </c>
      <c r="G103" s="25" t="inlineStr">
        <is>
          <t>Pendente</t>
        </is>
      </c>
      <c r="H103" s="26" t="inlineStr">
        <is>
          <t>Zoo inteiro</t>
        </is>
      </c>
      <c r="I103" s="24">
        <f>IF(AND(C103&lt;&gt;"—",A103&gt;INÍCIO!$B$5),1,0)</f>
        <v/>
      </c>
      <c r="J103">
        <f>IF(C103&lt;&gt;"—",C103,J102)</f>
        <v/>
      </c>
      <c r="K103">
        <f>IF(C103&lt;&gt;"—",A103,K102)</f>
        <v/>
      </c>
    </row>
  </sheetData>
  <autoFilter ref="A3:H103"/>
  <mergeCells count="2">
    <mergeCell ref="A2:H2"/>
    <mergeCell ref="A1:H1"/>
  </mergeCells>
  <conditionalFormatting sqref="A4:H103">
    <cfRule type="expression" priority="1" dxfId="0">
      <formula>$A4=INÍCIO!$B$5</formula>
    </cfRule>
  </conditionalFormatting>
  <conditionalFormatting sqref="G4:G103">
    <cfRule type="cellIs" priority="2" operator="equal" dxfId="1">
      <formula>"Feito"</formula>
    </cfRule>
    <cfRule type="cellIs" priority="3" operator="equal" dxfId="2">
      <formula>"Fazendo"</formula>
    </cfRule>
  </conditionalFormatting>
  <dataValidations count="1">
    <dataValidation sqref="F4 F5 F6 F7 F8 F9 F10 F11 F12 F13 F14 F15 F16 F17 F18 F19 F20 F21 F22 F23 F24 F25 F26 F27 F28 F29 F30 F31 F32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showDropDown="0" showInputMessage="0" showErrorMessage="0" allowBlank="0" type="list">
      <formula1>=Listas!$H$2:$H$4</formula1>
    </dataValidation>
  </dataValidations>
  <pageMargins left="0.75" right="0.75" top="1" bottom="1" header="0.5" footer="0.5"/>
</worksheet>
</file>

<file path=xl/worksheets/sheet4.xml><?xml version="1.0" encoding="utf-8"?>
<worksheet xmlns="http://schemas.openxmlformats.org/spreadsheetml/2006/main">
  <sheetPr>
    <tabColor rgb="003E9E86"/>
    <outlinePr summaryBelow="1" summaryRight="1"/>
    <pageSetUpPr/>
  </sheetPr>
  <dimension ref="A1:F115"/>
  <sheetViews>
    <sheetView showGridLines="0" zoomScale="100" workbookViewId="0">
      <selection activeCell="A1" sqref="A1"/>
    </sheetView>
  </sheetViews>
  <sheetFormatPr baseColWidth="8" defaultRowHeight="15"/>
  <cols>
    <col width="26" customWidth="1" min="1" max="1"/>
    <col width="34" customWidth="1" min="2" max="2"/>
    <col width="34" customWidth="1" min="3" max="3"/>
    <col width="34" customWidth="1" min="4" max="4"/>
    <col width="34" customWidth="1" min="5" max="5"/>
    <col width="34" customWidth="1" min="6" max="6"/>
  </cols>
  <sheetData>
    <row r="1" ht="34" customHeight="1">
      <c r="A1" s="1" t="inlineStr">
        <is>
          <t>ROTA POR FASE — o que jogar, comprar e evitar</t>
        </is>
      </c>
      <c r="B1" s="2" t="n"/>
      <c r="C1" s="2" t="n"/>
      <c r="D1" s="2" t="n"/>
      <c r="E1" s="2" t="n"/>
      <c r="F1" s="2" t="n"/>
    </row>
    <row r="2" ht="30" customHeight="1">
      <c r="A2" s="3" t="inlineStr">
        <is>
          <t>Cada bloco é uma fase. 'Barato' = começar com pouco no trade; 'Completo' = seguir a build como deve ser.</t>
        </is>
      </c>
      <c r="B2" s="2" t="n"/>
      <c r="C2" s="2" t="n"/>
      <c r="D2" s="2" t="n"/>
      <c r="E2" s="2" t="n"/>
      <c r="F2" s="2" t="n"/>
    </row>
    <row r="4" ht="22" customHeight="1">
      <c r="A4" s="13" t="inlineStr">
        <is>
          <t>ATO 1  ·  Nv 1–15  ·  Twister (leveling)</t>
        </is>
      </c>
      <c r="B4" s="14" t="n"/>
      <c r="C4" s="14" t="n"/>
      <c r="D4" s="14" t="n"/>
      <c r="E4" s="14" t="n"/>
      <c r="F4" s="14" t="n"/>
    </row>
    <row r="5" ht="19" customHeight="1">
      <c r="A5" s="28" t="inlineStr">
        <is>
          <t>Objetivo</t>
        </is>
      </c>
      <c r="B5" s="29" t="inlineStr">
        <is>
          <t>Subir rápido com Twister. Nada de minion ainda: o foco é chegar ao Ato 3 com dinheiro e nível para trocar para o macaco + Chober Chaber.</t>
        </is>
      </c>
      <c r="C5" s="10" t="n"/>
      <c r="D5" s="10" t="n"/>
      <c r="E5" s="10" t="n"/>
      <c r="F5" s="10" t="n"/>
    </row>
    <row r="6" ht="19" customHeight="1">
      <c r="A6" s="28" t="inlineStr">
        <is>
          <t>Carry</t>
        </is>
      </c>
      <c r="B6" s="29" t="inlineStr">
        <is>
          <t>Você: Twister + Whirling Slash</t>
        </is>
      </c>
      <c r="C6" s="10" t="n"/>
      <c r="D6" s="10" t="n"/>
      <c r="E6" s="10" t="n"/>
      <c r="F6" s="10" t="n"/>
    </row>
    <row r="7" ht="19" customHeight="1">
      <c r="A7" s="28" t="inlineStr">
        <is>
          <t>Ascendência</t>
        </is>
      </c>
      <c r="B7" s="29" t="inlineStr">
        <is>
          <t>—</t>
        </is>
      </c>
      <c r="C7" s="10" t="n"/>
      <c r="D7" s="10" t="n"/>
      <c r="E7" s="10" t="n"/>
      <c r="F7" s="10" t="n"/>
    </row>
    <row r="8" ht="19" customHeight="1">
      <c r="A8" s="28" t="inlineStr">
        <is>
          <t>Árvore</t>
        </is>
      </c>
      <c r="B8" s="29" t="inlineStr">
        <is>
          <t>Nós de Twister/projétil perto do início da Huntress. É a única fase em que dano de ataque do jogador faz sentido.</t>
        </is>
      </c>
      <c r="C8" s="10" t="n"/>
      <c r="D8" s="10" t="n"/>
      <c r="E8" s="10" t="n"/>
      <c r="F8" s="10" t="n"/>
    </row>
    <row r="9" ht="34" customHeight="1">
      <c r="A9" s="28" t="inlineStr">
        <is>
          <t>Rotação</t>
        </is>
      </c>
      <c r="B9" s="29" t="inlineStr">
        <is>
          <t>Whirling Slash até formar o redemoinho  →  Twister atravessando o redemoinho (fica maior e mais forte)  →  Parry para bloquear e contra-atacar bosses  →  Spear Throw para puxar de longe</t>
        </is>
      </c>
      <c r="C9" s="10" t="n"/>
      <c r="D9" s="10" t="n"/>
      <c r="E9" s="10" t="n"/>
      <c r="F9" s="10" t="n"/>
    </row>
    <row r="10" ht="19" customHeight="1">
      <c r="A10" s="28" t="inlineStr">
        <is>
          <t>Evite</t>
        </is>
      </c>
      <c r="B10" s="29" t="inlineStr">
        <is>
          <t>Gastar pontos em minion agora · Comprar gear caro para o Twister: ele sai da barra no Ato 3</t>
        </is>
      </c>
      <c r="C10" s="10" t="n"/>
      <c r="D10" s="10" t="n"/>
      <c r="E10" s="10" t="n"/>
      <c r="F10" s="10" t="n"/>
    </row>
    <row r="11" ht="19" customHeight="1">
      <c r="A11" s="28" t="inlineStr">
        <is>
          <t>Sai da fase quando</t>
        </is>
      </c>
      <c r="B11" s="29" t="inlineStr">
        <is>
          <t>King in the Mists (+30 Spirit) · Candlemass (+20 vida) · Botas com MS · Nível ~16</t>
        </is>
      </c>
      <c r="C11" s="10" t="n"/>
      <c r="D11" s="10" t="n"/>
      <c r="E11" s="10" t="n"/>
      <c r="F11" s="10" t="n"/>
    </row>
    <row r="12" ht="22" customHeight="1">
      <c r="A12" s="30" t="inlineStr">
        <is>
          <t>Barato (trade)</t>
        </is>
      </c>
      <c r="B12" s="16" t="n"/>
      <c r="C12" s="17" t="n"/>
      <c r="D12" s="30" t="inlineStr">
        <is>
          <t>Completo (currency)</t>
        </is>
      </c>
      <c r="E12" s="16" t="n"/>
      <c r="F12" s="17" t="n"/>
    </row>
    <row r="13" ht="34" customHeight="1">
      <c r="A13" s="31" t="inlineStr">
        <is>
          <t>• Rare spear com mais dano que cair</t>
        </is>
      </c>
      <c r="D13" s="31" t="inlineStr">
        <is>
          <t>• Kit de uniques baratos do Mattjestic: Splinter of Lorrata → Skysliver (spear), Foxshade (body), 2× Blackheart (anéis), Goldrim (capacete), Wanderlust (botas), Meginord's Girdle, Surefooted Sigil</t>
        </is>
      </c>
    </row>
    <row r="14" ht="19" customHeight="1">
      <c r="A14" s="31" t="inlineStr">
        <is>
          <t>• Botas com Movement Speed</t>
        </is>
      </c>
      <c r="D14" s="31" t="inlineStr">
        <is>
          <t>• Todos custam poucos Exalts no trade e fazem o Ato 1–2 voar</t>
        </is>
      </c>
    </row>
    <row r="15" ht="19" customHeight="1">
      <c r="A15" s="31" t="inlineStr">
        <is>
          <t>• Qualquer escudo/buckler com Evasion</t>
        </is>
      </c>
      <c r="D15" s="31" t="inlineStr"/>
    </row>
    <row r="16">
      <c r="A16" s="32" t="inlineStr">
        <is>
          <t>Prioridade de stats: Movement Speed &gt; Vida &gt; Resistências &gt; Dano da spear</t>
        </is>
      </c>
    </row>
    <row r="18" ht="22" customHeight="1">
      <c r="A18" s="13" t="inlineStr">
        <is>
          <t>ATO 2  ·  Nv 16–30  ·  1ª Ascendência</t>
        </is>
      </c>
      <c r="B18" s="14" t="n"/>
      <c r="C18" s="14" t="n"/>
      <c r="D18" s="14" t="n"/>
      <c r="E18" s="14" t="n"/>
      <c r="F18" s="14" t="n"/>
    </row>
    <row r="19" ht="19" customHeight="1">
      <c r="A19" s="28" t="inlineStr">
        <is>
          <t>Objetivo</t>
        </is>
      </c>
      <c r="B19" s="29" t="inlineStr">
        <is>
          <t>Wild Protector na 1ª Ascendência e juntar gold/currency para a troca do Ato 3 (Chober Chaber, The Vertex, Treefingers, Rattling Sceptre).</t>
        </is>
      </c>
      <c r="C19" s="10" t="n"/>
      <c r="D19" s="10" t="n"/>
      <c r="E19" s="10" t="n"/>
      <c r="F19" s="10" t="n"/>
    </row>
    <row r="20" ht="19" customHeight="1">
      <c r="A20" s="28" t="inlineStr">
        <is>
          <t>Carry</t>
        </is>
      </c>
      <c r="B20" s="29" t="inlineStr">
        <is>
          <t>Você: Twister + urso</t>
        </is>
      </c>
      <c r="C20" s="10" t="n"/>
      <c r="D20" s="10" t="n"/>
      <c r="E20" s="10" t="n"/>
      <c r="F20" s="10" t="n"/>
    </row>
    <row r="21" ht="19" customHeight="1">
      <c r="A21" s="28" t="inlineStr">
        <is>
          <t>Ascendência</t>
        </is>
      </c>
      <c r="B21" s="29" t="inlineStr">
        <is>
          <t>Wild Protector (Trial of the Sekhemas, Ato 2)</t>
        </is>
      </c>
      <c r="C21" s="10" t="n"/>
      <c r="D21" s="10" t="n"/>
      <c r="E21" s="10" t="n"/>
      <c r="F21" s="10" t="n"/>
    </row>
    <row r="22" ht="19" customHeight="1">
      <c r="A22" s="28" t="inlineStr">
        <is>
          <t>Árvore</t>
        </is>
      </c>
      <c r="B22" s="29" t="inlineStr">
        <is>
          <t>Ainda Twister, mas já caminhe para o lado de companion da árvore para o respec do Ato 3 ficar barato.</t>
        </is>
      </c>
      <c r="C22" s="10" t="n"/>
      <c r="D22" s="10" t="n"/>
      <c r="E22" s="10" t="n"/>
      <c r="F22" s="10" t="n"/>
    </row>
    <row r="23" ht="19" customHeight="1">
      <c r="A23" s="28" t="inlineStr">
        <is>
          <t>Rotação</t>
        </is>
      </c>
      <c r="B23" s="29" t="inlineStr">
        <is>
          <t>Mesma rotação de Twister  →  O urso segura o aggro dos bosses</t>
        </is>
      </c>
      <c r="C23" s="10" t="n"/>
      <c r="D23" s="10" t="n"/>
      <c r="E23" s="10" t="n"/>
      <c r="F23" s="10" t="n"/>
    </row>
    <row r="24" ht="19" customHeight="1">
      <c r="A24" s="28" t="inlineStr">
        <is>
          <t>Evite</t>
        </is>
      </c>
      <c r="B24" s="29" t="inlineStr">
        <is>
          <t>Gastar todo o gold: o respec do Ato 3 é caro</t>
        </is>
      </c>
      <c r="C24" s="10" t="n"/>
      <c r="D24" s="10" t="n"/>
      <c r="E24" s="10" t="n"/>
      <c r="F24" s="10" t="n"/>
    </row>
    <row r="25" ht="19" customHeight="1">
      <c r="A25" s="28" t="inlineStr">
        <is>
          <t>Sai da fase quando</t>
        </is>
      </c>
      <c r="B25" s="29" t="inlineStr">
        <is>
          <t>1ª Ascendência: Wild Protector · Medallion (+1 Charm Slot) · Currency guardada para a troca</t>
        </is>
      </c>
      <c r="C25" s="10" t="n"/>
      <c r="D25" s="10" t="n"/>
      <c r="E25" s="10" t="n"/>
      <c r="F25" s="10" t="n"/>
    </row>
    <row r="26" ht="22" customHeight="1">
      <c r="A26" s="30" t="inlineStr">
        <is>
          <t>Barato (trade)</t>
        </is>
      </c>
      <c r="B26" s="16" t="n"/>
      <c r="C26" s="17" t="n"/>
      <c r="D26" s="30" t="inlineStr">
        <is>
          <t>Completo (currency)</t>
        </is>
      </c>
      <c r="E26" s="16" t="n"/>
      <c r="F26" s="17" t="n"/>
    </row>
    <row r="27" ht="34" customHeight="1">
      <c r="A27" s="31" t="inlineStr">
        <is>
          <t>• Rare spear + botas com MS</t>
        </is>
      </c>
      <c r="D27" s="31" t="inlineStr">
        <is>
          <t>• Skysliver (spear) · Foxshade · 2× Blackheart · Goldrim · Wanderlust · Surefooted Sigil · Meginord's Girdle</t>
        </is>
      </c>
    </row>
    <row r="28" ht="34" customHeight="1">
      <c r="A28" s="31" t="inlineStr">
        <is>
          <t>• Meginord's Girdle se faltar Strength</t>
        </is>
      </c>
      <c r="D28" s="31" t="inlineStr">
        <is>
          <t>• Comece a guardar para: Chober Chaber (~2 ex), Treefingers (~5 ex), Rattling Sceptre (qualquer), The Vertex versão 'Equipment' (~0,4 div)</t>
        </is>
      </c>
    </row>
    <row r="29">
      <c r="A29" s="32" t="inlineStr">
        <is>
          <t>Prioridade de stats: Movement Speed &gt; Vida &gt; Resistências &gt; Spirit</t>
        </is>
      </c>
    </row>
    <row r="31" ht="22" customHeight="1">
      <c r="A31" s="13" t="inlineStr">
        <is>
          <t>ATO 3  ·  Nv 31–45  ·  A troca: macaco + urso</t>
        </is>
      </c>
      <c r="B31" s="14" t="n"/>
      <c r="C31" s="14" t="n"/>
      <c r="D31" s="14" t="n"/>
      <c r="E31" s="14" t="n"/>
      <c r="F31" s="14" t="n"/>
    </row>
    <row r="32" ht="19" customHeight="1">
      <c r="A32" s="28" t="inlineStr">
        <is>
          <t>Objetivo</t>
        </is>
      </c>
      <c r="B32" s="29" t="inlineStr">
        <is>
          <t>Capturar o Mighty Silverfist com The Natural Order e trocar a build inteira para minions no mesmo dia: Twister sai, entram macaco, urso, 1 Skeletal Warrior e Pain Offering.</t>
        </is>
      </c>
      <c r="C32" s="10" t="n"/>
      <c r="D32" s="10" t="n"/>
      <c r="E32" s="10" t="n"/>
      <c r="F32" s="10" t="n"/>
    </row>
    <row r="33" ht="19" customHeight="1">
      <c r="A33" s="28" t="inlineStr">
        <is>
          <t>Carry</t>
        </is>
      </c>
      <c r="B33" s="29" t="inlineStr">
        <is>
          <t>Mighty Silverfist (+ urso + 1 esqueleto)</t>
        </is>
      </c>
      <c r="C33" s="10" t="n"/>
      <c r="D33" s="10" t="n"/>
      <c r="E33" s="10" t="n"/>
      <c r="F33" s="10" t="n"/>
    </row>
    <row r="34" ht="19" customHeight="1">
      <c r="A34" s="28" t="inlineStr">
        <is>
          <t>Ascendência</t>
        </is>
      </c>
      <c r="B34" s="29" t="inlineStr">
        <is>
          <t>The Natural Order (Trial of Chaos, Ato 3)</t>
        </is>
      </c>
      <c r="C34" s="10" t="n"/>
      <c r="D34" s="10" t="n"/>
      <c r="E34" s="10" t="n"/>
      <c r="F34" s="10" t="n"/>
    </row>
    <row r="35" ht="34" customHeight="1">
      <c r="A35" s="28" t="inlineStr">
        <is>
          <t>Árvore</t>
        </is>
      </c>
      <c r="B35" s="29" t="inlineStr">
        <is>
          <t>Árvore do Mattjestic (Ato 3): Trusted Kinship, Bond of the Mamba, Bond of the Cat, Unspoken Bond, e defesa de Evasion (Blur, Catlike Agility, Escape Velocity). Zero nós de ataque.</t>
        </is>
      </c>
      <c r="C35" s="10" t="n"/>
      <c r="D35" s="10" t="n"/>
      <c r="E35" s="10" t="n"/>
      <c r="F35" s="10" t="n"/>
    </row>
    <row r="36" ht="34" customHeight="1">
      <c r="A36" s="28" t="inlineStr">
        <is>
          <t>Rotação</t>
        </is>
      </c>
      <c r="B36" s="29" t="inlineStr">
        <is>
          <t>Entre no pack e deixe o macaco e o urso baterem  →  Unearth no chão: cria Bone Constructs e quebra Armour (Armour Break III)  →  Pain Offering em cima do boss (espeta um Skeletal Warrior): +velocidade e +dano para todos os minions por 6 s  →  Raise Shield se o boss for dar um golpe grande</t>
        </is>
      </c>
      <c r="C36" s="10" t="n"/>
      <c r="D36" s="10" t="n"/>
      <c r="E36" s="10" t="n"/>
      <c r="F36" s="10" t="n"/>
    </row>
    <row r="37" ht="19" customHeight="1">
      <c r="A37" s="28" t="inlineStr">
        <is>
          <t>Evite</t>
        </is>
      </c>
      <c r="B37" s="29" t="inlineStr">
        <is>
          <t>Matar o Silverfist antes de ter The Natural Order · Manter Twister/Whirling depois da troca · Ball Lightning / Lightning Warp: não fazem nada pelo macaco</t>
        </is>
      </c>
      <c r="C37" s="10" t="n"/>
      <c r="D37" s="10" t="n"/>
      <c r="E37" s="10" t="n"/>
      <c r="F37" s="10" t="n"/>
    </row>
    <row r="38" ht="19" customHeight="1">
      <c r="A38" s="28" t="inlineStr">
        <is>
          <t>Sai da fase quando</t>
        </is>
      </c>
      <c r="B38" s="29" t="inlineStr">
        <is>
          <t>Silverfist capturado · Twister fora da barra · Pain Offering + Skeletal Warrior funcionando · Ignagduk (+30 Spirit)</t>
        </is>
      </c>
      <c r="C38" s="10" t="n"/>
      <c r="D38" s="10" t="n"/>
      <c r="E38" s="10" t="n"/>
      <c r="F38" s="10" t="n"/>
    </row>
    <row r="39" ht="22" customHeight="1">
      <c r="A39" s="30" t="inlineStr">
        <is>
          <t>Barato (trade)</t>
        </is>
      </c>
      <c r="B39" s="16" t="n"/>
      <c r="C39" s="17" t="n"/>
      <c r="D39" s="30" t="inlineStr">
        <is>
          <t>Completo (currency)</t>
        </is>
      </c>
      <c r="E39" s="16" t="n"/>
      <c r="F39" s="17" t="n"/>
    </row>
    <row r="40" ht="19" customHeight="1">
      <c r="A40" s="31" t="inlineStr">
        <is>
          <t>• Rattling Sceptre (main) + Trenchtimbre (offhand) — exatamente como o Mattjestic</t>
        </is>
      </c>
      <c r="D40" s="31" t="inlineStr">
        <is>
          <t>• Chober Chaber + Rattling Sceptre (com Treefingers dando Giant's Blood)</t>
        </is>
      </c>
    </row>
    <row r="41" ht="19" customHeight="1">
      <c r="A41" s="31" t="inlineStr">
        <is>
          <t>• Midnight Braid (cinto) · Foxshade/Wanderlust/Blackheart mantidos</t>
        </is>
      </c>
      <c r="D41" s="31" t="inlineStr">
        <is>
          <t>• The Vertex versão 'Equipment has no Attribute Requirements' para zerar os requisitos triplicados</t>
        </is>
      </c>
    </row>
    <row r="42" ht="19" customHeight="1">
      <c r="A42" s="31" t="inlineStr">
        <is>
          <t>• Meginord's Girdle se faltar Strength</t>
        </is>
      </c>
      <c r="D42" s="31" t="inlineStr">
        <is>
          <t>• Enfolding Dawn (+100 Spirit no body) para caber mais minions</t>
        </is>
      </c>
    </row>
    <row r="43">
      <c r="A43" s="32" t="inlineStr">
        <is>
          <t>Prioridade de stats: +Minion Skills &gt; Spirit &gt; Movement Speed &gt; Vida &gt; Resistências</t>
        </is>
      </c>
    </row>
    <row r="45" ht="22" customHeight="1">
      <c r="A45" s="13" t="inlineStr">
        <is>
          <t>ATO 4  ·  Nv 46–55  ·  2 companions + chaos</t>
        </is>
      </c>
      <c r="B45" s="14" t="n"/>
      <c r="C45" s="14" t="n"/>
      <c r="D45" s="14" t="n"/>
      <c r="E45" s="14" t="n"/>
      <c r="F45" s="14" t="n"/>
    </row>
    <row r="46" ht="34" customHeight="1">
      <c r="A46" s="28" t="inlineStr">
        <is>
          <t>Objetivo</t>
        </is>
      </c>
      <c r="B46" s="29" t="inlineStr">
        <is>
          <t>Macaco + 1 beast de aura (o limite do Trusted Kinship é 2 companions), marks e curse. Entram Evergrasping Ring (aliados ganham dano de chaos) e Withering Presence (inimigos recebem mais chaos): as duas peças se multiplicam.</t>
        </is>
      </c>
      <c r="C46" s="10" t="n"/>
      <c r="D46" s="10" t="n"/>
      <c r="E46" s="10" t="n"/>
      <c r="F46" s="10" t="n"/>
    </row>
    <row r="47" ht="19" customHeight="1">
      <c r="A47" s="28" t="inlineStr">
        <is>
          <t>Carry</t>
        </is>
      </c>
      <c r="B47" s="29" t="inlineStr">
        <is>
          <t>Silverfist (+ aura bots)</t>
        </is>
      </c>
      <c r="C47" s="10" t="n"/>
      <c r="D47" s="10" t="n"/>
      <c r="E47" s="10" t="n"/>
      <c r="F47" s="10" t="n"/>
    </row>
    <row r="48" ht="19" customHeight="1">
      <c r="A48" s="28" t="inlineStr">
        <is>
          <t>Ascendência</t>
        </is>
      </c>
      <c r="B48" s="29" t="inlineStr">
        <is>
          <t>—</t>
        </is>
      </c>
      <c r="C48" s="10" t="n"/>
      <c r="D48" s="10" t="n"/>
      <c r="E48" s="10" t="n"/>
      <c r="F48" s="10" t="n"/>
    </row>
    <row r="49" ht="19" customHeight="1">
      <c r="A49" s="28" t="inlineStr">
        <is>
          <t>Árvore</t>
        </is>
      </c>
      <c r="B49" s="29" t="inlineStr">
        <is>
          <t>Árvore do Mattjestic (Ato 4): Easy Going, Inspiring Ally, Bond of the Wolf somam aos Bonds do Ato 3.</t>
        </is>
      </c>
      <c r="C49" s="10" t="n"/>
      <c r="D49" s="10" t="n"/>
      <c r="E49" s="10" t="n"/>
      <c r="F49" s="10" t="n"/>
    </row>
    <row r="50" ht="19" customHeight="1">
      <c r="A50" s="28" t="inlineStr">
        <is>
          <t>Rotação</t>
        </is>
      </c>
      <c r="B50" s="29" t="inlineStr">
        <is>
          <t>Sniper's Mark no boss (com Mark for Death: quebra Armour)  →  Pain Offering em cima do boss  →  Unearth para mais corpos/Armour Break  →  Deixe o zoo bater</t>
        </is>
      </c>
      <c r="C50" s="10" t="n"/>
      <c r="D50" s="10" t="n"/>
      <c r="E50" s="10" t="n"/>
      <c r="F50" s="10" t="n"/>
    </row>
    <row r="51" ht="19" customHeight="1">
      <c r="A51" s="28" t="inlineStr">
        <is>
          <t>Evite</t>
        </is>
      </c>
      <c r="B51" s="29" t="inlineStr">
        <is>
          <t>Trocar Evergrasping Ring por rare de resist sem repor o chaos: o Wither perde sentido · Pegar nós de ataque para você</t>
        </is>
      </c>
      <c r="C51" s="10" t="n"/>
      <c r="D51" s="10" t="n"/>
      <c r="E51" s="10" t="n"/>
      <c r="F51" s="10" t="n"/>
    </row>
    <row r="52" ht="19" customHeight="1">
      <c r="A52" s="28" t="inlineStr">
        <is>
          <t>Sai da fase quando</t>
        </is>
      </c>
      <c r="B52" s="29" t="inlineStr">
        <is>
          <t>2 companions (macaco + aura) · Evergrasping Ring ×2 + Withering Presence · Testes de resistência do Ato 4 feitos</t>
        </is>
      </c>
      <c r="C52" s="10" t="n"/>
      <c r="D52" s="10" t="n"/>
      <c r="E52" s="10" t="n"/>
      <c r="F52" s="10" t="n"/>
    </row>
    <row r="53" ht="22" customHeight="1">
      <c r="A53" s="30" t="inlineStr">
        <is>
          <t>Barato (trade)</t>
        </is>
      </c>
      <c r="B53" s="16" t="n"/>
      <c r="C53" s="17" t="n"/>
      <c r="D53" s="30" t="inlineStr">
        <is>
          <t>Completo (currency)</t>
        </is>
      </c>
      <c r="E53" s="16" t="n"/>
      <c r="F53" s="17" t="n"/>
    </row>
    <row r="54" ht="19" customHeight="1">
      <c r="A54" s="31" t="inlineStr">
        <is>
          <t>• Rattling Sceptre + Trenchtimbre</t>
        </is>
      </c>
      <c r="D54" s="31" t="inlineStr">
        <is>
          <t>• Chober Chaber + Rattling Sceptre + Treefingers + The Vertex</t>
        </is>
      </c>
    </row>
    <row r="55" ht="19" customHeight="1">
      <c r="A55" s="31" t="inlineStr">
        <is>
          <t>• Evergrasping Ring ×2 (aliados ganham 15–25% do dano como chaos)</t>
        </is>
      </c>
      <c r="D55" s="31" t="inlineStr">
        <is>
          <t>• Evergrasping Ring ×2 · Enfolding Dawn · Bushwhack</t>
        </is>
      </c>
    </row>
    <row r="56" ht="19" customHeight="1">
      <c r="A56" s="31" t="inlineStr">
        <is>
          <t>• Enfolding Dawn (+100 Spirit) · Bushwhack (botas) · Midnight Braid</t>
        </is>
      </c>
      <c r="D56" s="31" t="inlineStr">
        <is>
          <t>• Primeiro Quill/Coconut Crab com Haste Aura</t>
        </is>
      </c>
    </row>
    <row r="57" ht="19" customHeight="1">
      <c r="A57" s="31" t="inlineStr">
        <is>
          <t>• Charms contra bleed/ignite</t>
        </is>
      </c>
      <c r="D57" s="31" t="inlineStr"/>
    </row>
    <row r="58">
      <c r="A58" s="32" t="inlineStr">
        <is>
          <t>Prioridade de stats: +Minion Skills &gt; Spirit &gt; Vida &gt; Resistências &gt; Movement Speed</t>
        </is>
      </c>
    </row>
    <row r="60" ht="22" customHeight="1">
      <c r="A60" s="13" t="inlineStr">
        <is>
          <t>INTERLÚDIOS  ·  Nv 56–64  ·  Esqueletos para o Muster</t>
        </is>
      </c>
      <c r="B60" s="14" t="n"/>
      <c r="C60" s="14" t="n"/>
      <c r="D60" s="14" t="n"/>
      <c r="E60" s="14" t="n"/>
      <c r="F60" s="14" t="n"/>
    </row>
    <row r="61" ht="34" customHeight="1">
      <c r="A61" s="28" t="inlineStr">
        <is>
          <t>Objetivo</t>
        </is>
      </c>
      <c r="B61" s="29" t="inlineStr">
        <is>
          <t>Depois do Lythara (+40 Spirit), somar TIPOS de esqueleto para o Muster, um por vez e só enquanto couber no Spirit: cada tipo diferente = +7% more dano no macaco, e o 2º esqueleto libera o Danse Macabre. Vulnerability tira Armour.</t>
        </is>
      </c>
      <c r="C61" s="10" t="n"/>
      <c r="D61" s="10" t="n"/>
      <c r="E61" s="10" t="n"/>
      <c r="F61" s="10" t="n"/>
    </row>
    <row r="62" ht="19" customHeight="1">
      <c r="A62" s="28" t="inlineStr">
        <is>
          <t>Carry</t>
        </is>
      </c>
      <c r="B62" s="29" t="inlineStr">
        <is>
          <t>Silverfist + zoo</t>
        </is>
      </c>
      <c r="C62" s="10" t="n"/>
      <c r="D62" s="10" t="n"/>
      <c r="E62" s="10" t="n"/>
      <c r="F62" s="10" t="n"/>
    </row>
    <row r="63" ht="19" customHeight="1">
      <c r="A63" s="28" t="inlineStr">
        <is>
          <t>Ascendência</t>
        </is>
      </c>
      <c r="B63" s="29" t="inlineStr">
        <is>
          <t>—</t>
        </is>
      </c>
      <c r="C63" s="10" t="n"/>
      <c r="D63" s="10" t="n"/>
      <c r="E63" s="10" t="n"/>
      <c r="F63" s="10" t="n"/>
    </row>
    <row r="64" ht="19" customHeight="1">
      <c r="A64" s="28" t="inlineStr">
        <is>
          <t>Árvore</t>
        </is>
      </c>
      <c r="B64" s="29" t="inlineStr">
        <is>
          <t>Árvore do Mattjestic (Ato 5): adiciona Bond of the Owl.</t>
        </is>
      </c>
      <c r="C64" s="10" t="n"/>
      <c r="D64" s="10" t="n"/>
      <c r="E64" s="10" t="n"/>
      <c r="F64" s="10" t="n"/>
    </row>
    <row r="65" ht="19" customHeight="1">
      <c r="A65" s="28" t="inlineStr">
        <is>
          <t>Rotação</t>
        </is>
      </c>
      <c r="B65" s="29" t="inlineStr">
        <is>
          <t>Vulnerability no pack/boss  →  Pain Offering  →  Deixe o zoo bater</t>
        </is>
      </c>
      <c r="C65" s="10" t="n"/>
      <c r="D65" s="10" t="n"/>
      <c r="E65" s="10" t="n"/>
      <c r="F65" s="10" t="n"/>
    </row>
    <row r="66" ht="19" customHeight="1">
      <c r="A66" s="28" t="inlineStr">
        <is>
          <t>Evite</t>
        </is>
      </c>
      <c r="B66" s="29" t="inlineStr">
        <is>
          <t>Colocar supports de dano nos esqueletos: eles existem para o Muster e para o Pain Offering · Entrar no Atlas com resists abaixo de 75%</t>
        </is>
      </c>
      <c r="C66" s="10" t="n"/>
      <c r="D66" s="10" t="n"/>
      <c r="E66" s="10" t="n"/>
      <c r="F66" s="10" t="n"/>
    </row>
    <row r="67" ht="19" customHeight="1">
      <c r="A67" s="28" t="inlineStr">
        <is>
          <t>Sai da fase quando</t>
        </is>
      </c>
      <c r="B67" s="29" t="inlineStr">
        <is>
          <t>2+ tipos de esqueleto (quantos couberem no Spirit) · Muster no macaco · Lythara (+40 Spirit) · Resists no cap</t>
        </is>
      </c>
      <c r="C67" s="10" t="n"/>
      <c r="D67" s="10" t="n"/>
      <c r="E67" s="10" t="n"/>
      <c r="F67" s="10" t="n"/>
    </row>
    <row r="68" ht="22" customHeight="1">
      <c r="A68" s="30" t="inlineStr">
        <is>
          <t>Barato (trade)</t>
        </is>
      </c>
      <c r="B68" s="16" t="n"/>
      <c r="C68" s="17" t="n"/>
      <c r="D68" s="30" t="inlineStr">
        <is>
          <t>Completo (currency)</t>
        </is>
      </c>
      <c r="E68" s="16" t="n"/>
      <c r="F68" s="17" t="n"/>
    </row>
    <row r="69" ht="19" customHeight="1">
      <c r="A69" s="31" t="inlineStr">
        <is>
          <t>• Trenchtimbre na main-hand + Rattling Sceptre no offhand</t>
        </is>
      </c>
      <c r="D69" s="31" t="inlineStr">
        <is>
          <t>• Chober Chaber + Rattling Sceptre + Treefingers + The Vertex</t>
        </is>
      </c>
    </row>
    <row r="70" ht="19" customHeight="1">
      <c r="A70" s="31" t="inlineStr">
        <is>
          <t>• Enfolding Dawn · Bushwhack · Evergrasping Ring ×2 · Meginord's Girdle</t>
        </is>
      </c>
      <c r="D70" s="31" t="inlineStr">
        <is>
          <t>• Enfolding Dawn · Bushwhack · Evergrasping Ring ×2</t>
        </is>
      </c>
    </row>
    <row r="71" ht="19" customHeight="1">
      <c r="A71" s="31" t="inlineStr">
        <is>
          <t>• Capacete Runeforged (Elite Greathelm) para Runic Ward</t>
        </is>
      </c>
      <c r="D71" s="31" t="inlineStr">
        <is>
          <t>• Ventor's Gamble se sobrar dinheiro</t>
        </is>
      </c>
    </row>
    <row r="72">
      <c r="A72" s="32" t="inlineStr">
        <is>
          <t>Prioridade de stats: +Minion Skills &gt; Spirit &gt; Vida &gt; Resistências (cap 75%) &gt; Movement Speed</t>
        </is>
      </c>
    </row>
    <row r="74" ht="22" customHeight="1">
      <c r="A74" s="13" t="inlineStr">
        <is>
          <t>INÍCIO DO ATLAS  ·  Nv 65–77  ·  Catha's Balance + mapping</t>
        </is>
      </c>
      <c r="B74" s="14" t="n"/>
      <c r="C74" s="14" t="n"/>
      <c r="D74" s="14" t="n"/>
      <c r="E74" s="14" t="n"/>
      <c r="F74" s="14" t="n"/>
    </row>
    <row r="75" ht="34" customHeight="1">
      <c r="A75" s="28" t="inlineStr">
        <is>
          <t>Objetivo</t>
        </is>
      </c>
      <c r="B75" s="29" t="inlineStr">
        <is>
          <t>The Catha's Balance transforma o dano da SUA arma em dano dos companions (60% por golpe). É aqui que a Chober Chaber vira o centro: maça de 2 mãos com dano base altíssimo, +Minion Skills e +50 Spirit.</t>
        </is>
      </c>
      <c r="C75" s="10" t="n"/>
      <c r="D75" s="10" t="n"/>
      <c r="E75" s="10" t="n"/>
      <c r="F75" s="10" t="n"/>
    </row>
    <row r="76" ht="19" customHeight="1">
      <c r="A76" s="28" t="inlineStr">
        <is>
          <t>Carry</t>
        </is>
      </c>
      <c r="B76" s="29" t="inlineStr">
        <is>
          <t>Macaco (Silverfist/Zekoa) + zoo</t>
        </is>
      </c>
      <c r="C76" s="10" t="n"/>
      <c r="D76" s="10" t="n"/>
      <c r="E76" s="10" t="n"/>
      <c r="F76" s="10" t="n"/>
    </row>
    <row r="77" ht="19" customHeight="1">
      <c r="A77" s="28" t="inlineStr">
        <is>
          <t>Ascendência</t>
        </is>
      </c>
      <c r="B77" s="29" t="inlineStr">
        <is>
          <t>The Catha's Balance (Trial nível 60+)</t>
        </is>
      </c>
      <c r="C77" s="10" t="n"/>
      <c r="D77" s="10" t="n"/>
      <c r="E77" s="10" t="n"/>
      <c r="F77" s="10" t="n"/>
    </row>
    <row r="78" ht="19" customHeight="1">
      <c r="A78" s="28" t="inlineStr">
        <is>
          <t>Árvore</t>
        </is>
      </c>
      <c r="B78" s="29" t="inlineStr">
        <is>
          <t>Árvore do Mattjestic (Mapping T1-10): Sturdy Ally, Captivating Companionship, Sic 'Em, The Howling Primate, The Fabled Stag, Enhanced Reflexes.</t>
        </is>
      </c>
      <c r="C78" s="10" t="n"/>
      <c r="D78" s="10" t="n"/>
      <c r="E78" s="10" t="n"/>
      <c r="F78" s="10" t="n"/>
    </row>
    <row r="79" ht="19" customHeight="1">
      <c r="A79" s="28" t="inlineStr">
        <is>
          <t>Rotação</t>
        </is>
      </c>
      <c r="B79" s="29" t="inlineStr">
        <is>
          <t>Despair no pack (tira resistência a chaos)  →  Sniper's Mark no boss  →  Pain Offering  →  Refutation antes de um golpe grande (gasta Runic Ward e bloqueia tudo)</t>
        </is>
      </c>
      <c r="C79" s="10" t="n"/>
      <c r="D79" s="10" t="n"/>
      <c r="E79" s="10" t="n"/>
      <c r="F79" s="10" t="n"/>
    </row>
    <row r="80" ht="19" customHeight="1">
      <c r="A80" s="28" t="inlineStr">
        <is>
          <t>Evite</t>
        </is>
      </c>
      <c r="B80" s="29" t="inlineStr">
        <is>
          <t>Julgar a arma pelo DPS: com Catha vale o dano por golpe (a Chober Chaber bate devagar e é a melhor) · Tirar os esqueletos antes do Effigy</t>
        </is>
      </c>
      <c r="C80" s="10" t="n"/>
      <c r="D80" s="10" t="n"/>
      <c r="E80" s="10" t="n"/>
      <c r="F80" s="10" t="n"/>
    </row>
    <row r="81" ht="19" customHeight="1">
      <c r="A81" s="28" t="inlineStr">
        <is>
          <t>Sai da fase quando</t>
        </is>
      </c>
      <c r="B81" s="29" t="inlineStr">
        <is>
          <t>Catha's Balance · Chober Chaber equipada · T1–T10 sem mortes · Juntar ~1 div para o Effigy</t>
        </is>
      </c>
      <c r="C81" s="10" t="n"/>
      <c r="D81" s="10" t="n"/>
      <c r="E81" s="10" t="n"/>
      <c r="F81" s="10" t="n"/>
    </row>
    <row r="82" ht="22" customHeight="1">
      <c r="A82" s="30" t="inlineStr">
        <is>
          <t>Barato (trade)</t>
        </is>
      </c>
      <c r="B82" s="16" t="n"/>
      <c r="C82" s="17" t="n"/>
      <c r="D82" s="30" t="inlineStr">
        <is>
          <t>Completo (currency)</t>
        </is>
      </c>
      <c r="E82" s="16" t="n"/>
      <c r="F82" s="17" t="n"/>
    </row>
    <row r="83" ht="19" customHeight="1">
      <c r="A83" s="31" t="inlineStr">
        <is>
          <t>• Trenchtimbre + Rattling Sceptre até juntar para a Chober Chaber</t>
        </is>
      </c>
      <c r="D83" s="31" t="inlineStr">
        <is>
          <t>• Chober Chaber (Runeforged) + Rattling Sceptre + Treefingers + The Vertex</t>
        </is>
      </c>
    </row>
    <row r="84" ht="19" customHeight="1">
      <c r="A84" s="31" t="inlineStr">
        <is>
          <t>• Evergrasping Ring ×2 · armaduras Runeforged (Runic Ward para o Refutation)</t>
        </is>
      </c>
      <c r="D84" s="31" t="inlineStr">
        <is>
          <t>• Sylvan's Effigy assim que tiver ~1 div (substitui o Rattling Sceptre)</t>
        </is>
      </c>
    </row>
    <row r="85" ht="19" customHeight="1">
      <c r="A85" s="31" t="inlineStr">
        <is>
          <t>• Jewels: From Nothing · Undying Hate</t>
        </is>
      </c>
      <c r="D85" s="31" t="inlineStr">
        <is>
          <t>• From Nothing · Undying Hate</t>
        </is>
      </c>
    </row>
    <row r="86">
      <c r="A86" s="32" t="inlineStr">
        <is>
          <t>Prioridade de stats: Dano base da main-hand (Catha) &gt; +Minion Skills &gt; Spirit &gt; Vida &gt; Resistências &gt; Runic Ward</t>
        </is>
      </c>
    </row>
    <row r="88" ht="22" customHeight="1">
      <c r="A88" s="13" t="inlineStr">
        <is>
          <t>T15+ (EFFIGY)  ·  Nv 78–89  ·  Chober + Giant's Blood + Effigy</t>
        </is>
      </c>
      <c r="B88" s="14" t="n"/>
      <c r="C88" s="14" t="n"/>
      <c r="D88" s="14" t="n"/>
      <c r="E88" s="14" t="n"/>
      <c r="F88" s="14" t="n"/>
    </row>
    <row r="89" ht="34" customHeight="1">
      <c r="A89" s="28" t="inlineStr">
        <is>
          <t>Objetivo</t>
        </is>
      </c>
      <c r="B89" s="29" t="inlineStr">
        <is>
          <t>Giant's Blood na árvore (maça de 2 mãos + sceptre), Sylvan's Effigy (companions ilimitados + Azmerian Wolf), Forgotten Warden (Spirit Vessel grátis). Os esqueletos saem, porque o Rattling Sceptre dá lugar ao Effigy. O Skeletal Cleric vira o alvo do Pain Offering.</t>
        </is>
      </c>
      <c r="C89" s="10" t="n"/>
      <c r="D89" s="10" t="n"/>
      <c r="E89" s="10" t="n"/>
      <c r="F89" s="10" t="n"/>
    </row>
    <row r="90" ht="19" customHeight="1">
      <c r="A90" s="28" t="inlineStr">
        <is>
          <t>Carry</t>
        </is>
      </c>
      <c r="B90" s="29" t="inlineStr">
        <is>
          <t>Zekoa + Azmerian Wolf + zoo</t>
        </is>
      </c>
      <c r="C90" s="10" t="n"/>
      <c r="D90" s="10" t="n"/>
      <c r="E90" s="10" t="n"/>
      <c r="F90" s="10" t="n"/>
    </row>
    <row r="91" ht="19" customHeight="1">
      <c r="A91" s="28" t="inlineStr">
        <is>
          <t>Ascendência</t>
        </is>
      </c>
      <c r="B91" s="29" t="inlineStr">
        <is>
          <t>Idolatry (Trial nível 75+)</t>
        </is>
      </c>
      <c r="C91" s="10" t="n"/>
      <c r="D91" s="10" t="n"/>
      <c r="E91" s="10" t="n"/>
      <c r="F91" s="10" t="n"/>
    </row>
    <row r="92" ht="19" customHeight="1">
      <c r="A92" s="28" t="inlineStr">
        <is>
          <t>Árvore</t>
        </is>
      </c>
      <c r="B92" s="29" t="inlineStr">
        <is>
          <t>Árvore do Mattjestic (Giant's Blood Endgame): Giant's Blood, Polymathy (atributos), Enduring/Avoiding Deflection, Long Distance Relationship, The Winter Owl.</t>
        </is>
      </c>
      <c r="C92" s="10" t="n"/>
      <c r="D92" s="10" t="n"/>
      <c r="E92" s="10" t="n"/>
      <c r="F92" s="10" t="n"/>
    </row>
    <row r="93" ht="34" customHeight="1">
      <c r="A93" s="28" t="inlineStr">
        <is>
          <t>Rotação</t>
        </is>
      </c>
      <c r="B93" s="29" t="inlineStr">
        <is>
          <t>Mace Strike (Einhar's Beastrite) finalizando raros: rouba 2 modificadores por 300 s  →  Voltaic Mark no boss  →  Pain Offering (Brutus' Brain: o espinho não morre)  →  Refutation antes do golpe grande  →  O resto é automático</t>
        </is>
      </c>
      <c r="C93" s="10" t="n"/>
      <c r="D93" s="10" t="n"/>
      <c r="E93" s="10" t="n"/>
      <c r="F93" s="10" t="n"/>
    </row>
    <row r="94" ht="19" customHeight="1">
      <c r="A94" s="28" t="inlineStr">
        <is>
          <t>Evite</t>
        </is>
      </c>
      <c r="B94" s="29" t="inlineStr">
        <is>
          <t>Tirar Trusted Kinship · Pegar Idolatry enquanto depende de runas de resistência</t>
        </is>
      </c>
      <c r="C94" s="10" t="n"/>
      <c r="D94" s="10" t="n"/>
      <c r="E94" s="10" t="n"/>
      <c r="F94" s="10" t="n"/>
    </row>
    <row r="95" ht="19" customHeight="1">
      <c r="A95" s="28" t="inlineStr">
        <is>
          <t>Sai da fase quando</t>
        </is>
      </c>
      <c r="B95" s="29" t="inlineStr">
        <is>
          <t>Giant's Blood + Chober + Effigy · Zekoa com Extra Crits/Haste · 3 aura bots (com Sylvan's Effigy) · Forgotten Warden + Spirit Vessel</t>
        </is>
      </c>
      <c r="C95" s="10" t="n"/>
      <c r="D95" s="10" t="n"/>
      <c r="E95" s="10" t="n"/>
      <c r="F95" s="10" t="n"/>
    </row>
    <row r="96" ht="22" customHeight="1">
      <c r="A96" s="30" t="inlineStr">
        <is>
          <t>Barato (trade)</t>
        </is>
      </c>
      <c r="B96" s="16" t="n"/>
      <c r="C96" s="17" t="n"/>
      <c r="D96" s="30" t="inlineStr">
        <is>
          <t>Completo (currency)</t>
        </is>
      </c>
      <c r="E96" s="16" t="n"/>
      <c r="F96" s="17" t="n"/>
    </row>
    <row r="97" ht="19" customHeight="1">
      <c r="A97" s="31" t="inlineStr">
        <is>
          <t>• Chober Chaber + Sylvan's Effigy</t>
        </is>
      </c>
      <c r="D97" s="31" t="inlineStr">
        <is>
          <t>• Mesmo set + Idolatry com Idols em tudo</t>
        </is>
      </c>
    </row>
    <row r="98" ht="19" customHeight="1">
      <c r="A98" s="31" t="inlineStr">
        <is>
          <t>• Forgotten Warden · Lavianga's Spirits</t>
        </is>
      </c>
      <c r="D98" s="31" t="inlineStr">
        <is>
          <t>• Prism of Belief +2/+3 Tamed Companion</t>
        </is>
      </c>
    </row>
    <row r="99" ht="19" customHeight="1">
      <c r="A99" s="31" t="inlineStr">
        <is>
          <t>• Spiteful Floret no weapon set 2 (Sanguine Revelry)</t>
        </is>
      </c>
      <c r="D99" s="31" t="inlineStr">
        <is>
          <t>• Morior Invictus se preferir tank</t>
        </is>
      </c>
    </row>
    <row r="100" ht="19" customHeight="1">
      <c r="A100" s="31" t="inlineStr">
        <is>
          <t>• Jewels: Controlled Metamorphosis · Megalomaniac · From Nothing</t>
        </is>
      </c>
      <c r="D100" s="31" t="inlineStr"/>
    </row>
    <row r="101">
      <c r="A101" s="32" t="inlineStr">
        <is>
          <t>Prioridade de stats: Dano base da Chober Chaber &gt; +Minion Skills &gt; Spirit &gt; Evasion/Deflection &gt; Resistências &gt; Atributos (Giant's Blood triplica requisitos)</t>
        </is>
      </c>
    </row>
    <row r="103" ht="22" customHeight="1">
      <c r="A103" s="13" t="inlineStr">
        <is>
          <t>ARBITER / MIN-MAX  ·  Nv 90–100  ·  Mind Over Matter + 27 companions</t>
        </is>
      </c>
      <c r="B103" s="14" t="n"/>
      <c r="C103" s="14" t="n"/>
      <c r="D103" s="14" t="n"/>
      <c r="E103" s="14" t="n"/>
      <c r="F103" s="14" t="n"/>
    </row>
    <row r="104" ht="19" customHeight="1">
      <c r="A104" s="28" t="inlineStr">
        <is>
          <t>Objetivo</t>
        </is>
      </c>
      <c r="B104" s="29" t="inlineStr">
        <is>
          <t>Endgame do Mattjestic: Mind Over Matter (dano sai da mana primeiro), Mageblood e até 27 companions. O macaco vira o único DPS 'puro'; os outros são aura bots super defensivos.</t>
        </is>
      </c>
      <c r="C104" s="10" t="n"/>
      <c r="D104" s="10" t="n"/>
      <c r="E104" s="10" t="n"/>
      <c r="F104" s="10" t="n"/>
    </row>
    <row r="105" ht="19" customHeight="1">
      <c r="A105" s="28" t="inlineStr">
        <is>
          <t>Carry</t>
        </is>
      </c>
      <c r="B105" s="29" t="inlineStr">
        <is>
          <t>Zoo inteiro</t>
        </is>
      </c>
      <c r="C105" s="10" t="n"/>
      <c r="D105" s="10" t="n"/>
      <c r="E105" s="10" t="n"/>
      <c r="F105" s="10" t="n"/>
    </row>
    <row r="106" ht="19" customHeight="1">
      <c r="A106" s="28" t="inlineStr">
        <is>
          <t>Ascendência</t>
        </is>
      </c>
      <c r="B106" s="29" t="inlineStr">
        <is>
          <t>—</t>
        </is>
      </c>
      <c r="C106" s="10" t="n"/>
      <c r="D106" s="10" t="n"/>
      <c r="E106" s="10" t="n"/>
      <c r="F106" s="10" t="n"/>
    </row>
    <row r="107" ht="19" customHeight="1">
      <c r="A107" s="28" t="inlineStr">
        <is>
          <t>Árvore</t>
        </is>
      </c>
      <c r="B107" s="29" t="inlineStr">
        <is>
          <t>Árvore do Mattjestic (Endgame Mapping): Mind Over Matter, The Soul Meridian, Beastial Skin, The Wild Cat, Lifelong Friend.</t>
        </is>
      </c>
      <c r="C107" s="10" t="n"/>
      <c r="D107" s="10" t="n"/>
      <c r="E107" s="10" t="n"/>
      <c r="F107" s="10" t="n"/>
    </row>
    <row r="108" ht="19" customHeight="1">
      <c r="A108" s="28" t="inlineStr">
        <is>
          <t>Rotação</t>
        </is>
      </c>
      <c r="B108" s="29" t="inlineStr">
        <is>
          <t>Mace Strike finalizando raros  →  Voltaic Mark  →  Refutation  →  Deixe o zoo</t>
        </is>
      </c>
      <c r="C108" s="10" t="n"/>
      <c r="D108" s="10" t="n"/>
      <c r="E108" s="10" t="n"/>
      <c r="F108" s="10" t="n"/>
    </row>
    <row r="109" ht="19" customHeight="1">
      <c r="A109" s="28" t="inlineStr">
        <is>
          <t>Evite</t>
        </is>
      </c>
      <c r="B109" s="29" t="inlineStr">
        <is>
          <t>Mind Over Matter sem mana alta (Chober +100 mana, Lavianga's)</t>
        </is>
      </c>
      <c r="C109" s="10" t="n"/>
      <c r="D109" s="10" t="n"/>
      <c r="E109" s="10" t="n"/>
      <c r="F109" s="10" t="n"/>
    </row>
    <row r="110" ht="19" customHeight="1">
      <c r="A110" s="28" t="inlineStr">
        <is>
          <t>Sai da fase quando</t>
        </is>
      </c>
      <c r="B110" s="29" t="inlineStr">
        <is>
          <t>Arbiter · Uber Arbiter</t>
        </is>
      </c>
      <c r="C110" s="10" t="n"/>
      <c r="D110" s="10" t="n"/>
      <c r="E110" s="10" t="n"/>
      <c r="F110" s="10" t="n"/>
    </row>
    <row r="111" ht="22" customHeight="1">
      <c r="A111" s="30" t="inlineStr">
        <is>
          <t>Barato (trade)</t>
        </is>
      </c>
      <c r="B111" s="16" t="n"/>
      <c r="C111" s="17" t="n"/>
      <c r="D111" s="30" t="inlineStr">
        <is>
          <t>Completo (currency)</t>
        </is>
      </c>
      <c r="E111" s="16" t="n"/>
      <c r="F111" s="17" t="n"/>
    </row>
    <row r="112" ht="19" customHeight="1">
      <c r="A112" s="31" t="inlineStr">
        <is>
          <t>• Setup do T15 + Mind Over Matter (Lavianga's Spirits sustenta)</t>
        </is>
      </c>
      <c r="D112" s="31" t="inlineStr">
        <is>
          <t>• Mageblood · Kalandra's Touch · Rite of Passage</t>
        </is>
      </c>
    </row>
    <row r="113" ht="19" customHeight="1">
      <c r="A113" s="31" t="inlineStr">
        <is>
          <t>• Charms: The Fall of the Axe · Nascent Hope · Beira's Anguish</t>
        </is>
      </c>
      <c r="D113" s="31" t="inlineStr">
        <is>
          <t>• Runeforged Pariah Mask · Drakeskin Boots · Barbed Bracers (rares/runeforged do Mattjestic)</t>
        </is>
      </c>
    </row>
    <row r="114" ht="19" customHeight="1">
      <c r="A114" s="31" t="inlineStr"/>
      <c r="D114" s="31" t="inlineStr">
        <is>
          <t>• Variante 12m: Morior Invictus + 2× Chober Chaber (weapon swap)</t>
        </is>
      </c>
    </row>
    <row r="115">
      <c r="A115" s="32" t="inlineStr">
        <is>
          <t>Prioridade de stats: Mana (Mind Over Matter) &gt; +Minion Skills &gt; Spirit &gt; Evasion/Deflection &gt; Resistências</t>
        </is>
      </c>
    </row>
  </sheetData>
  <mergeCells count="140">
    <mergeCell ref="B106:F106"/>
    <mergeCell ref="B7:F7"/>
    <mergeCell ref="B81:F81"/>
    <mergeCell ref="B25:F25"/>
    <mergeCell ref="B90:F90"/>
    <mergeCell ref="D53:F53"/>
    <mergeCell ref="A26:C26"/>
    <mergeCell ref="A57:C57"/>
    <mergeCell ref="A86:F86"/>
    <mergeCell ref="A113:C113"/>
    <mergeCell ref="B52:F52"/>
    <mergeCell ref="D28:F28"/>
    <mergeCell ref="A71:C71"/>
    <mergeCell ref="B11:F11"/>
    <mergeCell ref="D12:F12"/>
    <mergeCell ref="D39:F39"/>
    <mergeCell ref="A72:F72"/>
    <mergeCell ref="A29:F29"/>
    <mergeCell ref="D14:F14"/>
    <mergeCell ref="B34:F34"/>
    <mergeCell ref="A31:F31"/>
    <mergeCell ref="B37:F37"/>
    <mergeCell ref="A58:F58"/>
    <mergeCell ref="B108:F108"/>
    <mergeCell ref="A83:C83"/>
    <mergeCell ref="B92:F92"/>
    <mergeCell ref="B6:F6"/>
    <mergeCell ref="A60:F60"/>
    <mergeCell ref="B20:F20"/>
    <mergeCell ref="B80:F80"/>
    <mergeCell ref="B94:F94"/>
    <mergeCell ref="D96:F96"/>
    <mergeCell ref="A69:C69"/>
    <mergeCell ref="D57:F57"/>
    <mergeCell ref="A16:F16"/>
    <mergeCell ref="D27:F27"/>
    <mergeCell ref="D41:F41"/>
    <mergeCell ref="A18:F18"/>
    <mergeCell ref="A55:C55"/>
    <mergeCell ref="A12:C12"/>
    <mergeCell ref="A101:F101"/>
    <mergeCell ref="B105:F105"/>
    <mergeCell ref="A2:F2"/>
    <mergeCell ref="A14:C14"/>
    <mergeCell ref="A97:C97"/>
    <mergeCell ref="B107:F107"/>
    <mergeCell ref="B8:F8"/>
    <mergeCell ref="D68:F68"/>
    <mergeCell ref="D83:F83"/>
    <mergeCell ref="A96:C96"/>
    <mergeCell ref="D55:F55"/>
    <mergeCell ref="A13:C13"/>
    <mergeCell ref="B10:F10"/>
    <mergeCell ref="D85:F85"/>
    <mergeCell ref="B19:F19"/>
    <mergeCell ref="A40:C40"/>
    <mergeCell ref="D54:F54"/>
    <mergeCell ref="A15:C15"/>
    <mergeCell ref="D69:F69"/>
    <mergeCell ref="D100:F100"/>
    <mergeCell ref="B9:F9"/>
    <mergeCell ref="A82:C82"/>
    <mergeCell ref="B5:F5"/>
    <mergeCell ref="D40:F40"/>
    <mergeCell ref="B76:F76"/>
    <mergeCell ref="D111:F111"/>
    <mergeCell ref="A88:F88"/>
    <mergeCell ref="A99:C99"/>
    <mergeCell ref="B75:F75"/>
    <mergeCell ref="B109:F109"/>
    <mergeCell ref="B47:F47"/>
    <mergeCell ref="B62:F62"/>
    <mergeCell ref="A84:C84"/>
    <mergeCell ref="D97:F97"/>
    <mergeCell ref="A74:F74"/>
    <mergeCell ref="B46:F46"/>
    <mergeCell ref="B21:F21"/>
    <mergeCell ref="A42:C42"/>
    <mergeCell ref="B48:F48"/>
    <mergeCell ref="D71:F71"/>
    <mergeCell ref="B23:F23"/>
    <mergeCell ref="D42:F42"/>
    <mergeCell ref="A28:C28"/>
    <mergeCell ref="D82:F82"/>
    <mergeCell ref="A112:C112"/>
    <mergeCell ref="D113:F113"/>
    <mergeCell ref="A115:F115"/>
    <mergeCell ref="A114:C114"/>
    <mergeCell ref="B65:F65"/>
    <mergeCell ref="A98:C98"/>
    <mergeCell ref="D99:F99"/>
    <mergeCell ref="A1:F1"/>
    <mergeCell ref="A45:F45"/>
    <mergeCell ref="D84:F84"/>
    <mergeCell ref="A103:F103"/>
    <mergeCell ref="A70:C70"/>
    <mergeCell ref="B63:F63"/>
    <mergeCell ref="B36:F36"/>
    <mergeCell ref="B50:F50"/>
    <mergeCell ref="B110:F110"/>
    <mergeCell ref="A54:C54"/>
    <mergeCell ref="A41:C41"/>
    <mergeCell ref="D13:F13"/>
    <mergeCell ref="B91:F91"/>
    <mergeCell ref="B66:F66"/>
    <mergeCell ref="A56:C56"/>
    <mergeCell ref="A27:C27"/>
    <mergeCell ref="D70:F70"/>
    <mergeCell ref="B22:F22"/>
    <mergeCell ref="B93:F93"/>
    <mergeCell ref="B77:F77"/>
    <mergeCell ref="D112:F112"/>
    <mergeCell ref="A85:C85"/>
    <mergeCell ref="D56:F56"/>
    <mergeCell ref="B67:F67"/>
    <mergeCell ref="A100:C100"/>
    <mergeCell ref="B61:F61"/>
    <mergeCell ref="A4:F4"/>
    <mergeCell ref="A53:C53"/>
    <mergeCell ref="D114:F114"/>
    <mergeCell ref="D15:F15"/>
    <mergeCell ref="A43:F43"/>
    <mergeCell ref="A68:C68"/>
    <mergeCell ref="D98:F98"/>
    <mergeCell ref="B38:F38"/>
    <mergeCell ref="B78:F78"/>
    <mergeCell ref="A111:C111"/>
    <mergeCell ref="D26:F26"/>
    <mergeCell ref="A39:C39"/>
    <mergeCell ref="B49:F49"/>
    <mergeCell ref="B24:F24"/>
    <mergeCell ref="B64:F64"/>
    <mergeCell ref="B95:F95"/>
    <mergeCell ref="B33:F33"/>
    <mergeCell ref="B89:F89"/>
    <mergeCell ref="B104:F104"/>
    <mergeCell ref="B51:F51"/>
    <mergeCell ref="B79:F79"/>
    <mergeCell ref="B32:F32"/>
    <mergeCell ref="B35:F35"/>
  </mergeCells>
  <pageMargins left="0.75" right="0.75" top="1" bottom="1" header="0.5" footer="0.5"/>
</worksheet>
</file>

<file path=xl/worksheets/sheet5.xml><?xml version="1.0" encoding="utf-8"?>
<worksheet xmlns="http://schemas.openxmlformats.org/spreadsheetml/2006/main">
  <sheetPr>
    <tabColor rgb="003E9E86"/>
    <outlinePr summaryBelow="1" summaryRight="1"/>
    <pageSetUpPr/>
  </sheetPr>
  <dimension ref="A1:J156"/>
  <sheetViews>
    <sheetView showGridLines="0" zoomScale="100" workbookViewId="0">
      <pane xSplit="2" ySplit="3" topLeftCell="C4" activePane="bottomRight" state="frozen"/>
      <selection pane="topRight"/>
      <selection pane="bottomLeft"/>
      <selection pane="bottomRight" activeCell="A1" sqref="A1"/>
    </sheetView>
  </sheetViews>
  <sheetFormatPr baseColWidth="8" defaultRowHeight="15"/>
  <cols>
    <col width="16" customWidth="1" min="1" max="1"/>
    <col width="30" customWidth="1" min="2" max="2"/>
    <col width="10" customWidth="1" min="3" max="3"/>
    <col width="20" customWidth="1" min="4" max="4"/>
    <col width="20" customWidth="1" min="5" max="5"/>
    <col width="20" customWidth="1" min="6" max="6"/>
    <col width="20" customWidth="1" min="7" max="7"/>
    <col width="20" customWidth="1" min="8" max="8"/>
    <col width="24" customWidth="1" min="9" max="9"/>
    <col width="60" customWidth="1" min="10" max="10"/>
  </cols>
  <sheetData>
    <row r="1" ht="34" customHeight="1">
      <c r="A1" s="1" t="inlineStr">
        <is>
          <t>SKILLS &amp; SUPPORTS — rota Chober Chaber (Mattjestic)</t>
        </is>
      </c>
      <c r="B1" s="2" t="n"/>
      <c r="C1" s="2" t="n"/>
      <c r="D1" s="2" t="n"/>
      <c r="E1" s="2" t="n"/>
      <c r="F1" s="2" t="n"/>
      <c r="G1" s="2" t="n"/>
      <c r="H1" s="2" t="n"/>
      <c r="I1" s="2" t="n"/>
      <c r="J1" s="2" t="n"/>
    </row>
    <row r="2" ht="30" customHeight="1">
      <c r="A2" s="3" t="inlineStr">
        <is>
          <t>Filtre a coluna Fase. Coluna J explica cada skill; no fim da aba, o que cada support faz.</t>
        </is>
      </c>
      <c r="B2" s="2" t="n"/>
      <c r="C2" s="2" t="n"/>
      <c r="D2" s="2" t="n"/>
      <c r="E2" s="2" t="n"/>
      <c r="F2" s="2" t="n"/>
      <c r="G2" s="2" t="n"/>
      <c r="H2" s="2" t="n"/>
      <c r="I2" s="2" t="n"/>
      <c r="J2" s="2" t="n"/>
    </row>
    <row r="3" ht="22" customHeight="1">
      <c r="A3" s="15" t="inlineStr">
        <is>
          <t>Fase</t>
        </is>
      </c>
      <c r="B3" s="15" t="inlineStr">
        <is>
          <t>Skill</t>
        </is>
      </c>
      <c r="C3" s="15" t="inlineStr">
        <is>
          <t>Set</t>
        </is>
      </c>
      <c r="D3" s="15" t="inlineStr">
        <is>
          <t>Support 1</t>
        </is>
      </c>
      <c r="E3" s="15" t="inlineStr">
        <is>
          <t>Support 2</t>
        </is>
      </c>
      <c r="F3" s="15" t="inlineStr">
        <is>
          <t>Support 3</t>
        </is>
      </c>
      <c r="G3" s="15" t="inlineStr">
        <is>
          <t>Support 4</t>
        </is>
      </c>
      <c r="H3" s="15" t="inlineStr">
        <is>
          <t>Support 5</t>
        </is>
      </c>
      <c r="I3" s="15" t="inlineStr">
        <is>
          <t>Função</t>
        </is>
      </c>
      <c r="J3" s="15" t="inlineStr">
        <is>
          <t>Por que está na build</t>
        </is>
      </c>
    </row>
    <row r="4" ht="34" customHeight="1">
      <c r="A4" s="19" t="inlineStr">
        <is>
          <t>Ato 1</t>
        </is>
      </c>
      <c r="B4" s="18" t="inlineStr">
        <is>
          <t>Twister</t>
        </is>
      </c>
      <c r="C4" s="19" t="inlineStr">
        <is>
          <t>—</t>
        </is>
      </c>
      <c r="D4" s="19" t="inlineStr">
        <is>
          <t>Retreat III</t>
        </is>
      </c>
      <c r="E4" s="19" t="inlineStr">
        <is>
          <t>Elemental Armament III</t>
        </is>
      </c>
      <c r="F4" s="19" t="inlineStr">
        <is>
          <t>Projectile Acceleration I</t>
        </is>
      </c>
      <c r="G4" s="19" t="inlineStr"/>
      <c r="H4" s="19" t="inlineStr"/>
      <c r="I4" s="19" t="inlineStr">
        <is>
          <t>Dano principal</t>
        </is>
      </c>
      <c r="J4" s="19" t="inlineStr">
        <is>
          <t>Twister é a skill de leveling mais rápida da Huntress: redemoinhos que atravessam packs inteiros.</t>
        </is>
      </c>
    </row>
    <row r="5" ht="34" customHeight="1">
      <c r="A5" s="19" t="inlineStr">
        <is>
          <t>Ato 1</t>
        </is>
      </c>
      <c r="B5" s="18" t="inlineStr">
        <is>
          <t>Whirling Slash</t>
        </is>
      </c>
      <c r="C5" s="19" t="inlineStr">
        <is>
          <t>—</t>
        </is>
      </c>
      <c r="D5" s="19" t="inlineStr">
        <is>
          <t>Rapid Attacks I</t>
        </is>
      </c>
      <c r="E5" s="19" t="inlineStr">
        <is>
          <t>Rage II</t>
        </is>
      </c>
      <c r="F5" s="19" t="inlineStr"/>
      <c r="G5" s="19" t="inlineStr"/>
      <c r="H5" s="19" t="inlineStr"/>
      <c r="I5" s="19" t="inlineStr">
        <is>
          <t>Cria o redemoinho</t>
        </is>
      </c>
      <c r="J5" s="19" t="inlineStr">
        <is>
          <t>Cada Whirling Slash cria/aumenta um redemoinho; o Twister disparado por dentro dele ganha dano e tamanho.</t>
        </is>
      </c>
    </row>
    <row r="6" ht="34" customHeight="1">
      <c r="A6" s="19" t="inlineStr">
        <is>
          <t>Ato 1</t>
        </is>
      </c>
      <c r="B6" s="18" t="inlineStr">
        <is>
          <t>Herald of Ice</t>
        </is>
      </c>
      <c r="C6" s="19" t="inlineStr">
        <is>
          <t>—</t>
        </is>
      </c>
      <c r="D6" s="19" t="inlineStr">
        <is>
          <t>Cold Attunement</t>
        </is>
      </c>
      <c r="E6" s="19" t="inlineStr">
        <is>
          <t>Concentrated Area</t>
        </is>
      </c>
      <c r="F6" s="19" t="inlineStr"/>
      <c r="G6" s="19" t="inlineStr"/>
      <c r="H6" s="19" t="inlineStr"/>
      <c r="I6" s="19" t="inlineStr">
        <is>
          <t>Clear extra</t>
        </is>
      </c>
      <c r="J6" s="19" t="inlineStr">
        <is>
          <t>Inimigos congelados explodem e limpam o resto do pack sem apertar nada.</t>
        </is>
      </c>
    </row>
    <row r="7" ht="34" customHeight="1">
      <c r="A7" s="19" t="inlineStr">
        <is>
          <t>Ato 1</t>
        </is>
      </c>
      <c r="B7" s="18" t="inlineStr">
        <is>
          <t>Parry</t>
        </is>
      </c>
      <c r="C7" s="19" t="inlineStr">
        <is>
          <t>—</t>
        </is>
      </c>
      <c r="D7" s="19" t="inlineStr"/>
      <c r="E7" s="19" t="inlineStr"/>
      <c r="F7" s="19" t="inlineStr"/>
      <c r="G7" s="19" t="inlineStr"/>
      <c r="H7" s="19" t="inlineStr"/>
      <c r="I7" s="19" t="inlineStr">
        <is>
          <t>Defesa ativa</t>
        </is>
      </c>
      <c r="J7" s="19" t="inlineStr">
        <is>
          <t>Bloqueia o próximo golpe e deixa o inimigo vulnerável: salva de bosses do Ato 1–2.</t>
        </is>
      </c>
    </row>
    <row r="8" ht="19" customHeight="1">
      <c r="A8" s="19" t="inlineStr">
        <is>
          <t>Ato 1</t>
        </is>
      </c>
      <c r="B8" s="18" t="inlineStr">
        <is>
          <t>Spear Throw</t>
        </is>
      </c>
      <c r="C8" s="19" t="inlineStr">
        <is>
          <t>—</t>
        </is>
      </c>
      <c r="D8" s="19" t="inlineStr"/>
      <c r="E8" s="19" t="inlineStr"/>
      <c r="F8" s="19" t="inlineStr"/>
      <c r="G8" s="19" t="inlineStr"/>
      <c r="H8" s="19" t="inlineStr"/>
      <c r="I8" s="19" t="inlineStr">
        <is>
          <t>Puxar de longe</t>
        </is>
      </c>
      <c r="J8" s="19" t="inlineStr">
        <is>
          <t>Vem da própria spear; útil para puxar packs.</t>
        </is>
      </c>
    </row>
    <row r="9" ht="34" customHeight="1">
      <c r="A9" s="26" t="inlineStr">
        <is>
          <t>Ato 2</t>
        </is>
      </c>
      <c r="B9" s="27" t="inlineStr">
        <is>
          <t>Wild Protector</t>
        </is>
      </c>
      <c r="C9" s="26" t="inlineStr">
        <is>
          <t>Asc.</t>
        </is>
      </c>
      <c r="D9" s="26" t="inlineStr">
        <is>
          <t>Magnified Area I</t>
        </is>
      </c>
      <c r="E9" s="26" t="inlineStr">
        <is>
          <t>Rage II</t>
        </is>
      </c>
      <c r="F9" s="26" t="inlineStr"/>
      <c r="G9" s="26" t="inlineStr"/>
      <c r="H9" s="26" t="inlineStr"/>
      <c r="I9" s="26" t="inlineStr">
        <is>
          <t>Tank + dano extra</t>
        </is>
      </c>
      <c r="J9" s="26" t="inlineStr">
        <is>
          <t>O urso não conta no limite de companions: é um minion grátis que segura bosses e dá Intimidate.</t>
        </is>
      </c>
    </row>
    <row r="10" ht="19" customHeight="1">
      <c r="A10" s="26" t="inlineStr">
        <is>
          <t>Ato 2</t>
        </is>
      </c>
      <c r="B10" s="27" t="inlineStr">
        <is>
          <t>Twister</t>
        </is>
      </c>
      <c r="C10" s="26" t="inlineStr">
        <is>
          <t>—</t>
        </is>
      </c>
      <c r="D10" s="26" t="inlineStr">
        <is>
          <t>Retreat III</t>
        </is>
      </c>
      <c r="E10" s="26" t="inlineStr">
        <is>
          <t>Elemental Armament III</t>
        </is>
      </c>
      <c r="F10" s="26" t="inlineStr">
        <is>
          <t>Projectile Acceleration I</t>
        </is>
      </c>
      <c r="G10" s="26" t="inlineStr"/>
      <c r="H10" s="26" t="inlineStr"/>
      <c r="I10" s="26" t="inlineStr">
        <is>
          <t>Dano principal</t>
        </is>
      </c>
      <c r="J10" s="26" t="inlineStr">
        <is>
          <t>Continua sendo o dano até capturar o macaco.</t>
        </is>
      </c>
    </row>
    <row r="11" ht="19" customHeight="1">
      <c r="A11" s="26" t="inlineStr">
        <is>
          <t>Ato 2</t>
        </is>
      </c>
      <c r="B11" s="27" t="inlineStr">
        <is>
          <t>Whirling Slash</t>
        </is>
      </c>
      <c r="C11" s="26" t="inlineStr">
        <is>
          <t>—</t>
        </is>
      </c>
      <c r="D11" s="26" t="inlineStr">
        <is>
          <t>Rapid Attacks I</t>
        </is>
      </c>
      <c r="E11" s="26" t="inlineStr">
        <is>
          <t>Bleed I</t>
        </is>
      </c>
      <c r="F11" s="26" t="inlineStr"/>
      <c r="G11" s="26" t="inlineStr"/>
      <c r="H11" s="26" t="inlineStr"/>
      <c r="I11" s="26" t="inlineStr">
        <is>
          <t>Redemoinho</t>
        </is>
      </c>
      <c r="J11" s="26" t="inlineStr">
        <is>
          <t>Bleed no Whirling ajuda nos bosses.</t>
        </is>
      </c>
    </row>
    <row r="12" ht="19" customHeight="1">
      <c r="A12" s="26" t="inlineStr">
        <is>
          <t>Ato 2</t>
        </is>
      </c>
      <c r="B12" s="27" t="inlineStr">
        <is>
          <t>Parry</t>
        </is>
      </c>
      <c r="C12" s="26" t="inlineStr">
        <is>
          <t>—</t>
        </is>
      </c>
      <c r="D12" s="26" t="inlineStr"/>
      <c r="E12" s="26" t="inlineStr"/>
      <c r="F12" s="26" t="inlineStr"/>
      <c r="G12" s="26" t="inlineStr"/>
      <c r="H12" s="26" t="inlineStr"/>
      <c r="I12" s="26" t="inlineStr">
        <is>
          <t>Defesa ativa</t>
        </is>
      </c>
      <c r="J12" s="26" t="inlineStr">
        <is>
          <t>Continua útil até o Ato 3.</t>
        </is>
      </c>
    </row>
    <row r="13" ht="19" customHeight="1">
      <c r="A13" s="26" t="inlineStr">
        <is>
          <t>Ato 2</t>
        </is>
      </c>
      <c r="B13" s="27" t="inlineStr">
        <is>
          <t>Spear Throw</t>
        </is>
      </c>
      <c r="C13" s="26" t="inlineStr">
        <is>
          <t>—</t>
        </is>
      </c>
      <c r="D13" s="26" t="inlineStr"/>
      <c r="E13" s="26" t="inlineStr"/>
      <c r="F13" s="26" t="inlineStr"/>
      <c r="G13" s="26" t="inlineStr"/>
      <c r="H13" s="26" t="inlineStr"/>
      <c r="I13" s="26" t="inlineStr">
        <is>
          <t>Puxar de longe</t>
        </is>
      </c>
      <c r="J13" s="26" t="inlineStr">
        <is>
          <t>Vem da spear.</t>
        </is>
      </c>
    </row>
    <row r="14" ht="49" customHeight="1">
      <c r="A14" s="19" t="inlineStr">
        <is>
          <t>Ato 3</t>
        </is>
      </c>
      <c r="B14" s="28" t="inlineStr">
        <is>
          <t>Tame Beast (Mighty Silverfist)</t>
        </is>
      </c>
      <c r="C14" s="19" t="inlineStr">
        <is>
          <t>—</t>
        </is>
      </c>
      <c r="D14" s="19" t="inlineStr">
        <is>
          <t>Feeding Frenzy II</t>
        </is>
      </c>
      <c r="E14" s="19" t="inlineStr">
        <is>
          <t>Rage II</t>
        </is>
      </c>
      <c r="F14" s="19" t="inlineStr">
        <is>
          <t>Rapid Attacks I</t>
        </is>
      </c>
      <c r="G14" s="19" t="inlineStr">
        <is>
          <t>Heft</t>
        </is>
      </c>
      <c r="H14" s="19" t="inlineStr"/>
      <c r="I14" s="19" t="inlineStr">
        <is>
          <t>CARRY</t>
        </is>
      </c>
      <c r="J14" s="19" t="inlineStr">
        <is>
          <t>O macaco é o dano da build inteira: bate físico em área, muito rápido, com 25% de chance de crítico base. Tudo abaixo existe para deixá-lo mais forte ou mais vivo.</t>
        </is>
      </c>
    </row>
    <row r="15" ht="19" customHeight="1">
      <c r="A15" s="19" t="inlineStr">
        <is>
          <t>Ato 3</t>
        </is>
      </c>
      <c r="B15" s="18" t="inlineStr">
        <is>
          <t>Wild Protector</t>
        </is>
      </c>
      <c r="C15" s="19" t="inlineStr">
        <is>
          <t>Asc.</t>
        </is>
      </c>
      <c r="D15" s="19" t="inlineStr">
        <is>
          <t>Magnified Area I</t>
        </is>
      </c>
      <c r="E15" s="19" t="inlineStr"/>
      <c r="F15" s="19" t="inlineStr"/>
      <c r="G15" s="19" t="inlineStr"/>
      <c r="H15" s="19" t="inlineStr"/>
      <c r="I15" s="19" t="inlineStr">
        <is>
          <t>Tank</t>
        </is>
      </c>
      <c r="J15" s="19" t="inlineStr">
        <is>
          <t>Segura o aggro e conta como mais um TIPO de minion para o Muster.</t>
        </is>
      </c>
    </row>
    <row r="16" ht="64" customHeight="1">
      <c r="A16" s="19" t="inlineStr">
        <is>
          <t>Ato 3</t>
        </is>
      </c>
      <c r="B16" s="18" t="inlineStr">
        <is>
          <t>Skeletal Warrior (1 esqueleto)</t>
        </is>
      </c>
      <c r="C16" s="19" t="inlineStr">
        <is>
          <t>—</t>
        </is>
      </c>
      <c r="D16" s="19" t="inlineStr">
        <is>
          <t>Sacrificial Lamb I</t>
        </is>
      </c>
      <c r="E16" s="19" t="inlineStr">
        <is>
          <t>Meat Shield I</t>
        </is>
      </c>
      <c r="F16" s="19" t="inlineStr"/>
      <c r="G16" s="19" t="inlineStr"/>
      <c r="H16" s="19" t="inlineStr"/>
      <c r="I16" s="19" t="inlineStr">
        <is>
          <t>Combustível do Pain Offering</t>
        </is>
      </c>
      <c r="J16" s="19" t="inlineStr">
        <is>
          <t>Vem como gem do Rattling Sceptre. Você só precisa de UM esqueleto vivo: ele é o alvo que o Pain Offering espeta. Não é para dar dano. Sacrificial Lamb garante que o espinho pegue ele (e nunca o macaco) e Meat Shield mantém ele vivo.</t>
        </is>
      </c>
    </row>
    <row r="17" ht="64" customHeight="1">
      <c r="A17" s="19" t="inlineStr">
        <is>
          <t>Ato 3</t>
        </is>
      </c>
      <c r="B17" s="18" t="inlineStr">
        <is>
          <t>Pain Offering</t>
        </is>
      </c>
      <c r="C17" s="19" t="inlineStr">
        <is>
          <t>—</t>
        </is>
      </c>
      <c r="D17" s="19" t="inlineStr">
        <is>
          <t>Prolonged Duration II</t>
        </is>
      </c>
      <c r="E17" s="19" t="inlineStr">
        <is>
          <t>Sacrificial Offering</t>
        </is>
      </c>
      <c r="F17" s="19" t="inlineStr"/>
      <c r="G17" s="19" t="inlineStr"/>
      <c r="H17" s="19" t="inlineStr"/>
      <c r="I17" s="19" t="inlineStr">
        <is>
          <t>Buff de dano dos minions</t>
        </is>
      </c>
      <c r="J17" s="19" t="inlineStr">
        <is>
          <t>Espeta 1 esqueleto: minions a até 6 m ganham até +29% attack speed e +58% dano. Não reserva Spirit, só gasta mana. Danse Macabre só entra quando você tiver 2 esqueletos vivos (Interlúdios em diante); com 1 esqueleto ele não funciona.</t>
        </is>
      </c>
    </row>
    <row r="18" ht="49" customHeight="1">
      <c r="A18" s="19" t="inlineStr">
        <is>
          <t>Ato 3</t>
        </is>
      </c>
      <c r="B18" s="18" t="inlineStr">
        <is>
          <t>Unearth</t>
        </is>
      </c>
      <c r="C18" s="19" t="inlineStr">
        <is>
          <t>—</t>
        </is>
      </c>
      <c r="D18" s="19" t="inlineStr">
        <is>
          <t>Armour Break III</t>
        </is>
      </c>
      <c r="E18" s="19" t="inlineStr"/>
      <c r="F18" s="19" t="inlineStr"/>
      <c r="G18" s="19" t="inlineStr"/>
      <c r="H18" s="19" t="inlineStr"/>
      <c r="I18" s="19" t="inlineStr">
        <is>
          <t>Quebra de Armour + corpos</t>
        </is>
      </c>
      <c r="J18" s="19" t="inlineStr">
        <is>
          <t>Spell sua que cria Bone Constructs dos corpos e, com Armour Break III, tira Armour do inimigo: o macaco passa a bater o dano físico inteiro.</t>
        </is>
      </c>
    </row>
    <row r="19" ht="49" customHeight="1">
      <c r="A19" s="19" t="inlineStr">
        <is>
          <t>Ato 3</t>
        </is>
      </c>
      <c r="B19" s="18" t="inlineStr">
        <is>
          <t>Raise Shield</t>
        </is>
      </c>
      <c r="C19" s="19" t="inlineStr">
        <is>
          <t>—</t>
        </is>
      </c>
      <c r="D19" s="19" t="inlineStr"/>
      <c r="E19" s="19" t="inlineStr"/>
      <c r="F19" s="19" t="inlineStr"/>
      <c r="G19" s="19" t="inlineStr"/>
      <c r="H19" s="19" t="inlineStr"/>
      <c r="I19" s="19" t="inlineStr">
        <is>
          <t>Defesa ativa</t>
        </is>
      </c>
      <c r="J19" s="19" t="inlineStr">
        <is>
          <t>Só funciona com escudo ou buckler equipado. Com sceptre + maça (o set desta rota) ele não pode ser usado: deixe fora da barra se não tiver escudo.</t>
        </is>
      </c>
    </row>
    <row r="20" ht="64" customHeight="1">
      <c r="A20" s="19" t="inlineStr">
        <is>
          <t>Ato 3</t>
        </is>
      </c>
      <c r="B20" s="18" t="inlineStr">
        <is>
          <t>Tame Beast (2º beast: aura)</t>
        </is>
      </c>
      <c r="C20" s="19" t="inlineStr">
        <is>
          <t>—</t>
        </is>
      </c>
      <c r="D20" s="19" t="inlineStr">
        <is>
          <t>Last Gasp</t>
        </is>
      </c>
      <c r="E20" s="19" t="inlineStr">
        <is>
          <t>Loyalty</t>
        </is>
      </c>
      <c r="F20" s="19" t="inlineStr"/>
      <c r="G20" s="19" t="inlineStr"/>
      <c r="H20" s="19" t="inlineStr"/>
      <c r="I20" s="19" t="inlineStr">
        <is>
          <t>Aura bot</t>
        </is>
      </c>
      <c r="J20" s="19" t="inlineStr">
        <is>
          <t>Entra quando o Spirit deixar (depois do Ignagduk, +30 Spirit, no nível ~40). Escolha pelo modificador de aura (Haste/Physical), não pelo dano. Last Gasp mantém a aura viva, Loyalty faz ele tomar parte do seu dano.</t>
        </is>
      </c>
    </row>
    <row r="21" ht="34" customHeight="1">
      <c r="A21" s="19" t="inlineStr">
        <is>
          <t>Ato 3</t>
        </is>
      </c>
      <c r="B21" s="18" t="inlineStr">
        <is>
          <t>Tame Beast (vazia)</t>
        </is>
      </c>
      <c r="C21" s="19" t="inlineStr">
        <is>
          <t>—</t>
        </is>
      </c>
      <c r="D21" s="19" t="inlineStr"/>
      <c r="E21" s="19" t="inlineStr"/>
      <c r="F21" s="19" t="inlineStr"/>
      <c r="G21" s="19" t="inlineStr"/>
      <c r="H21" s="19" t="inlineStr"/>
      <c r="I21" s="19" t="inlineStr">
        <is>
          <t>Captura</t>
        </is>
      </c>
      <c r="J21" s="19" t="inlineStr">
        <is>
          <t>Deixe uma gem de Tame Beast livre para capturar o próximo beast com mod bom.</t>
        </is>
      </c>
    </row>
    <row r="22" ht="19" customHeight="1">
      <c r="A22" s="19" t="inlineStr">
        <is>
          <t>Ato 3</t>
        </is>
      </c>
      <c r="B22" s="18" t="inlineStr">
        <is>
          <t>Twister</t>
        </is>
      </c>
      <c r="C22" s="19" t="inlineStr">
        <is>
          <t>—</t>
        </is>
      </c>
      <c r="D22" s="19" t="inlineStr">
        <is>
          <t>Retreat III</t>
        </is>
      </c>
      <c r="E22" s="19" t="inlineStr">
        <is>
          <t>Elemental Armament III</t>
        </is>
      </c>
      <c r="F22" s="19" t="inlineStr"/>
      <c r="G22" s="19" t="inlineStr"/>
      <c r="H22" s="19" t="inlineStr"/>
      <c r="I22" s="19" t="inlineStr">
        <is>
          <t>Só até capturar</t>
        </is>
      </c>
      <c r="J22" s="19" t="inlineStr">
        <is>
          <t>Tire da barra no respec.</t>
        </is>
      </c>
    </row>
    <row r="23" ht="19" customHeight="1">
      <c r="A23" s="19" t="inlineStr">
        <is>
          <t>Ato 3</t>
        </is>
      </c>
      <c r="B23" s="18" t="inlineStr">
        <is>
          <t>Whirling Slash</t>
        </is>
      </c>
      <c r="C23" s="19" t="inlineStr">
        <is>
          <t>—</t>
        </is>
      </c>
      <c r="D23" s="19" t="inlineStr">
        <is>
          <t>Rapid Attacks I</t>
        </is>
      </c>
      <c r="E23" s="19" t="inlineStr">
        <is>
          <t>Bleed I</t>
        </is>
      </c>
      <c r="F23" s="19" t="inlineStr"/>
      <c r="G23" s="19" t="inlineStr"/>
      <c r="H23" s="19" t="inlineStr"/>
      <c r="I23" s="19" t="inlineStr">
        <is>
          <t>Só até capturar</t>
        </is>
      </c>
      <c r="J23" s="19" t="inlineStr">
        <is>
          <t>Tire da barra no respec.</t>
        </is>
      </c>
    </row>
    <row r="24" ht="19" customHeight="1">
      <c r="A24" s="26" t="inlineStr">
        <is>
          <t>Ato 4</t>
        </is>
      </c>
      <c r="B24" s="33" t="inlineStr">
        <is>
          <t>Tame Beast (Mighty Silverfist)</t>
        </is>
      </c>
      <c r="C24" s="26" t="inlineStr">
        <is>
          <t>—</t>
        </is>
      </c>
      <c r="D24" s="26" t="inlineStr">
        <is>
          <t>Feeding Frenzy II</t>
        </is>
      </c>
      <c r="E24" s="26" t="inlineStr">
        <is>
          <t>Rage II</t>
        </is>
      </c>
      <c r="F24" s="26" t="inlineStr">
        <is>
          <t>Rapid Attacks II</t>
        </is>
      </c>
      <c r="G24" s="26" t="inlineStr">
        <is>
          <t>Heft</t>
        </is>
      </c>
      <c r="H24" s="26" t="inlineStr"/>
      <c r="I24" s="26" t="inlineStr">
        <is>
          <t>CARRY</t>
        </is>
      </c>
      <c r="J24" s="26" t="inlineStr">
        <is>
          <t>Rapid Attacks sobe para II: mais golpes por segundo.</t>
        </is>
      </c>
    </row>
    <row r="25" ht="19" customHeight="1">
      <c r="A25" s="26" t="inlineStr">
        <is>
          <t>Ato 4</t>
        </is>
      </c>
      <c r="B25" s="27" t="inlineStr">
        <is>
          <t>Wild Protector</t>
        </is>
      </c>
      <c r="C25" s="26" t="inlineStr">
        <is>
          <t>Asc.</t>
        </is>
      </c>
      <c r="D25" s="26" t="inlineStr">
        <is>
          <t>Magnified Area I</t>
        </is>
      </c>
      <c r="E25" s="26" t="inlineStr">
        <is>
          <t>Armour Break III</t>
        </is>
      </c>
      <c r="F25" s="26" t="inlineStr"/>
      <c r="G25" s="26" t="inlineStr"/>
      <c r="H25" s="26" t="inlineStr"/>
      <c r="I25" s="26" t="inlineStr">
        <is>
          <t>Tank + Armour Break</t>
        </is>
      </c>
      <c r="J25" s="26" t="inlineStr">
        <is>
          <t>O urso também passa a quebrar Armour, somando com o Unearth.</t>
        </is>
      </c>
    </row>
    <row r="26" ht="79" customHeight="1">
      <c r="A26" s="26" t="inlineStr">
        <is>
          <t>Ato 4</t>
        </is>
      </c>
      <c r="B26" s="27" t="inlineStr">
        <is>
          <t>Skeletal Warrior (ou 1 Arsonist)</t>
        </is>
      </c>
      <c r="C26" s="26" t="inlineStr">
        <is>
          <t>—</t>
        </is>
      </c>
      <c r="D26" s="26" t="inlineStr">
        <is>
          <t>Sacrificial Lamb I</t>
        </is>
      </c>
      <c r="E26" s="26" t="inlineStr">
        <is>
          <t>Amanamu's Tithe</t>
        </is>
      </c>
      <c r="F26" s="26" t="inlineStr"/>
      <c r="G26" s="26" t="inlineStr"/>
      <c r="H26" s="26" t="inlineStr"/>
      <c r="I26" s="26" t="inlineStr">
        <is>
          <t>Combustível</t>
        </is>
      </c>
      <c r="J26" s="26" t="inlineStr">
        <is>
          <t>Só UM esqueleto: ele é o alvo do Pain Offering. Pode ser o Skeletal Warrior do Rattling Sceptre OU um Skeletal Arsonist — se você já usa o Arsonist, NÃO ative o Warrior também, porque os dois não cabem no Spirit do Ato 4. Sacrificial Lamb I garante que o Pain Offering espete esse esqueleto.</t>
        </is>
      </c>
    </row>
    <row r="27" ht="49" customHeight="1">
      <c r="A27" s="26" t="inlineStr">
        <is>
          <t>Ato 4</t>
        </is>
      </c>
      <c r="B27" s="27" t="inlineStr">
        <is>
          <t>Pain Offering</t>
        </is>
      </c>
      <c r="C27" s="26" t="inlineStr">
        <is>
          <t>—</t>
        </is>
      </c>
      <c r="D27" s="26" t="inlineStr">
        <is>
          <t>Prolonged Duration II</t>
        </is>
      </c>
      <c r="E27" s="26" t="inlineStr">
        <is>
          <t>Sacrificial Offering</t>
        </is>
      </c>
      <c r="F27" s="26" t="inlineStr"/>
      <c r="G27" s="26" t="inlineStr"/>
      <c r="H27" s="26" t="inlineStr"/>
      <c r="I27" s="26" t="inlineStr">
        <is>
          <t>Buff de dano</t>
        </is>
      </c>
      <c r="J27" s="26" t="inlineStr">
        <is>
          <t>Continua sendo o botão de boss e não reserva Spirit. Com 1 esqueleto use Prolonged Duration II + Sacrificial Offering; Danse Macabre só quando tiver 2 esqueletos vivos.</t>
        </is>
      </c>
    </row>
    <row r="28" ht="49" customHeight="1">
      <c r="A28" s="26" t="inlineStr">
        <is>
          <t>Ato 4</t>
        </is>
      </c>
      <c r="B28" s="27" t="inlineStr">
        <is>
          <t>Withering Presence</t>
        </is>
      </c>
      <c r="C28" s="26" t="inlineStr">
        <is>
          <t>—</t>
        </is>
      </c>
      <c r="D28" s="26" t="inlineStr"/>
      <c r="E28" s="26" t="inlineStr"/>
      <c r="F28" s="26" t="inlineStr"/>
      <c r="G28" s="26" t="inlineStr"/>
      <c r="H28" s="26" t="inlineStr"/>
      <c r="I28" s="26" t="inlineStr">
        <is>
          <t>Wither em área</t>
        </is>
      </c>
      <c r="J28" s="26" t="inlineStr">
        <is>
          <t>Inimigos na sua Presence recebem Wither (mais dano de chaos). Sozinha seria fraca, mas com Evergrasping Ring o zoo inteiro bate chaos extra.</t>
        </is>
      </c>
    </row>
    <row r="29" ht="19" customHeight="1">
      <c r="A29" s="26" t="inlineStr">
        <is>
          <t>Ato 4</t>
        </is>
      </c>
      <c r="B29" s="27" t="inlineStr">
        <is>
          <t>Sniper's Mark</t>
        </is>
      </c>
      <c r="C29" s="26" t="inlineStr">
        <is>
          <t>—</t>
        </is>
      </c>
      <c r="D29" s="26" t="inlineStr">
        <is>
          <t>Mark for Death</t>
        </is>
      </c>
      <c r="E29" s="26" t="inlineStr">
        <is>
          <t>Prolonged Duration II</t>
        </is>
      </c>
      <c r="F29" s="26" t="inlineStr"/>
      <c r="G29" s="26" t="inlineStr"/>
      <c r="H29" s="26" t="inlineStr"/>
      <c r="I29" s="26" t="inlineStr">
        <is>
          <t>Marca o boss</t>
        </is>
      </c>
      <c r="J29" s="26" t="inlineStr">
        <is>
          <t>Mark for Death faz os hits no alvo marcado quebrarem Armour.</t>
        </is>
      </c>
    </row>
    <row r="30" ht="19" customHeight="1">
      <c r="A30" s="26" t="inlineStr">
        <is>
          <t>Ato 4</t>
        </is>
      </c>
      <c r="B30" s="27" t="inlineStr">
        <is>
          <t>Unearth</t>
        </is>
      </c>
      <c r="C30" s="26" t="inlineStr">
        <is>
          <t>—</t>
        </is>
      </c>
      <c r="D30" s="26" t="inlineStr">
        <is>
          <t>Prolonged Duration I</t>
        </is>
      </c>
      <c r="E30" s="26" t="inlineStr"/>
      <c r="F30" s="26" t="inlineStr"/>
      <c r="G30" s="26" t="inlineStr"/>
      <c r="H30" s="26" t="inlineStr"/>
      <c r="I30" s="26" t="inlineStr">
        <is>
          <t>Corpos + controle</t>
        </is>
      </c>
      <c r="J30" s="26" t="inlineStr">
        <is>
          <t>Bone Constructs duram mais.</t>
        </is>
      </c>
    </row>
    <row r="31" ht="49" customHeight="1">
      <c r="A31" s="26" t="inlineStr">
        <is>
          <t>Ato 4</t>
        </is>
      </c>
      <c r="B31" s="27" t="inlineStr">
        <is>
          <t>Tame Beast (2º beast: aura Haste)</t>
        </is>
      </c>
      <c r="C31" s="26" t="inlineStr">
        <is>
          <t>—</t>
        </is>
      </c>
      <c r="D31" s="26" t="inlineStr">
        <is>
          <t>Loyalty</t>
        </is>
      </c>
      <c r="E31" s="26" t="inlineStr">
        <is>
          <t>Last Gasp</t>
        </is>
      </c>
      <c r="F31" s="26" t="inlineStr"/>
      <c r="G31" s="26" t="inlineStr"/>
      <c r="H31" s="26" t="inlineStr"/>
      <c r="I31" s="26" t="inlineStr">
        <is>
          <t>Aura bot</t>
        </is>
      </c>
      <c r="J31" s="26" t="inlineStr">
        <is>
          <t>O beast de aura vem logo depois do macaco: a aura de Haste acelera o zoo inteiro. Loyalty faz ele absorver parte do seu dano e Last Gasp mantém a aura ativa mesmo depois de morrer.</t>
        </is>
      </c>
    </row>
    <row r="32" ht="79" customHeight="1">
      <c r="A32" s="26" t="inlineStr">
        <is>
          <t>Ato 4</t>
        </is>
      </c>
      <c r="B32" s="27" t="inlineStr">
        <is>
          <t>Tame Beast (3º beast: só com Sylvan's Effigy)</t>
        </is>
      </c>
      <c r="C32" s="26" t="inlineStr">
        <is>
          <t>—</t>
        </is>
      </c>
      <c r="D32" s="26" t="inlineStr"/>
      <c r="E32" s="26" t="inlineStr"/>
      <c r="F32" s="26" t="inlineStr"/>
      <c r="G32" s="26" t="inlineStr"/>
      <c r="H32" s="26" t="inlineStr"/>
      <c r="I32" s="26" t="inlineStr">
        <is>
          <t>Captura / guardar para o Effigy</t>
        </is>
      </c>
      <c r="J32" s="26" t="inlineStr">
        <is>
          <t>Com Trusted Kinship o limite é 2 companions de tipos diferentes (texto do keystone). O 3º só pode ficar ativo com o Sylvan's Effigy ("any number of Companions"). Até lá, use esta gem vazia só para capturar e guardar um Swarming Wisp / Plague Swarm com aura Physical.</t>
        </is>
      </c>
    </row>
    <row r="33" ht="49" customHeight="1">
      <c r="A33" s="26" t="inlineStr">
        <is>
          <t>Ato 4</t>
        </is>
      </c>
      <c r="B33" s="27" t="inlineStr">
        <is>
          <t>Raise Shield</t>
        </is>
      </c>
      <c r="C33" s="26" t="inlineStr">
        <is>
          <t>—</t>
        </is>
      </c>
      <c r="D33" s="26" t="inlineStr"/>
      <c r="E33" s="26" t="inlineStr"/>
      <c r="F33" s="26" t="inlineStr"/>
      <c r="G33" s="26" t="inlineStr"/>
      <c r="H33" s="26" t="inlineStr"/>
      <c r="I33" s="26" t="inlineStr">
        <is>
          <t>Defesa ativa</t>
        </is>
      </c>
      <c r="J33" s="26" t="inlineStr">
        <is>
          <t>Só funciona com escudo ou buckler equipado. Com sceptre + maça (o set desta rota) ele não pode ser usado: deixe fora da barra se não tiver escudo.</t>
        </is>
      </c>
    </row>
    <row r="34" ht="64" customHeight="1">
      <c r="A34" s="26" t="inlineStr">
        <is>
          <t>Ato 4</t>
        </is>
      </c>
      <c r="B34" s="27" t="inlineStr">
        <is>
          <t>Skeletal Warrior (2º esqueleto)</t>
        </is>
      </c>
      <c r="C34" s="26" t="inlineStr">
        <is>
          <t>—</t>
        </is>
      </c>
      <c r="D34" s="26" t="inlineStr">
        <is>
          <t>Sacrificial Lamb I</t>
        </is>
      </c>
      <c r="E34" s="26" t="inlineStr"/>
      <c r="F34" s="26" t="inlineStr"/>
      <c r="G34" s="26" t="inlineStr"/>
      <c r="H34" s="26" t="inlineStr"/>
      <c r="I34" s="26" t="inlineStr">
        <is>
          <t>Só se sobrar Spirit</t>
        </is>
      </c>
      <c r="J34" s="26" t="inlineStr">
        <is>
          <t>Um 2º esqueleto libera o Danse Macabre no Pain Offering (+30% efeito). Com ~210 Spirit no nível 49 ele NÃO cabe junto com Silverfist + aura + Withering Presence + 1 esqueleto. Deixe para os Interlúdios.</t>
        </is>
      </c>
    </row>
    <row r="35" ht="34" customHeight="1">
      <c r="A35" s="19" t="inlineStr">
        <is>
          <t>Interlúdios</t>
        </is>
      </c>
      <c r="B35" s="28" t="inlineStr">
        <is>
          <t>Tame Beast (Mighty Silverfist)</t>
        </is>
      </c>
      <c r="C35" s="19" t="inlineStr">
        <is>
          <t>—</t>
        </is>
      </c>
      <c r="D35" s="19" t="inlineStr">
        <is>
          <t>Feeding Frenzy II</t>
        </is>
      </c>
      <c r="E35" s="19" t="inlineStr">
        <is>
          <t>Rage II</t>
        </is>
      </c>
      <c r="F35" s="19" t="inlineStr">
        <is>
          <t>Rapid Attacks II</t>
        </is>
      </c>
      <c r="G35" s="19" t="inlineStr">
        <is>
          <t>Heft</t>
        </is>
      </c>
      <c r="H35" s="19" t="inlineStr">
        <is>
          <t>Muster</t>
        </is>
      </c>
      <c r="I35" s="19" t="inlineStr">
        <is>
          <t>CARRY</t>
        </is>
      </c>
      <c r="J35" s="19" t="inlineStr">
        <is>
          <t>Entra o 5º support: Muster. Com urso + macaco + aura bots + 5 tipos de esqueleto, são ~9 tipos → ~+63% more dano.</t>
        </is>
      </c>
    </row>
    <row r="36" ht="19" customHeight="1">
      <c r="A36" s="19" t="inlineStr">
        <is>
          <t>Interlúdios</t>
        </is>
      </c>
      <c r="B36" s="18" t="inlineStr">
        <is>
          <t>Wild Protector</t>
        </is>
      </c>
      <c r="C36" s="19" t="inlineStr">
        <is>
          <t>Asc.</t>
        </is>
      </c>
      <c r="D36" s="19" t="inlineStr">
        <is>
          <t>Magnified Area I</t>
        </is>
      </c>
      <c r="E36" s="19" t="inlineStr">
        <is>
          <t>Armour Break III</t>
        </is>
      </c>
      <c r="F36" s="19" t="inlineStr">
        <is>
          <t>Minion Splash II</t>
        </is>
      </c>
      <c r="G36" s="19" t="inlineStr"/>
      <c r="H36" s="19" t="inlineStr"/>
      <c r="I36" s="19" t="inlineStr">
        <is>
          <t>Tank + área</t>
        </is>
      </c>
      <c r="J36" s="19" t="inlineStr">
        <is>
          <t>Minion Splash: o urso acerta o pack todo.</t>
        </is>
      </c>
    </row>
    <row r="37" ht="49" customHeight="1">
      <c r="A37" s="19" t="inlineStr">
        <is>
          <t>Interlúdios</t>
        </is>
      </c>
      <c r="B37" s="18" t="inlineStr">
        <is>
          <t>Skeletal Warrior</t>
        </is>
      </c>
      <c r="C37" s="19" t="inlineStr">
        <is>
          <t>—</t>
        </is>
      </c>
      <c r="D37" s="19" t="inlineStr">
        <is>
          <t>Sacrificial Lamb II</t>
        </is>
      </c>
      <c r="E37" s="19" t="inlineStr">
        <is>
          <t>Amanamu's Tithe</t>
        </is>
      </c>
      <c r="F37" s="19" t="inlineStr"/>
      <c r="G37" s="19" t="inlineStr"/>
      <c r="H37" s="19" t="inlineStr"/>
      <c r="I37" s="19" t="inlineStr">
        <is>
          <t>Combustível</t>
        </is>
      </c>
      <c r="J37" s="19" t="inlineStr">
        <is>
          <t>O esqueleto alvo do Pain Offering (Sacrificial Lamb II alcança 6 m). Se você usa Arsonist como esqueleto principal, ele ocupa esta vaga.</t>
        </is>
      </c>
    </row>
    <row r="38" ht="64" customHeight="1">
      <c r="A38" s="19" t="inlineStr">
        <is>
          <t>Interlúdios</t>
        </is>
      </c>
      <c r="B38" s="18" t="inlineStr">
        <is>
          <t>Skeletal Frost Mage</t>
        </is>
      </c>
      <c r="C38" s="19" t="inlineStr">
        <is>
          <t>—</t>
        </is>
      </c>
      <c r="D38" s="19" t="inlineStr"/>
      <c r="E38" s="19" t="inlineStr"/>
      <c r="F38" s="19" t="inlineStr"/>
      <c r="G38" s="19" t="inlineStr"/>
      <c r="H38" s="19" t="inlineStr"/>
      <c r="I38" s="19" t="inlineStr">
        <is>
          <t>Tipo extra (Muster) · opcional</t>
        </is>
      </c>
      <c r="J38" s="19" t="inlineStr">
        <is>
          <t>Cada TIPO diferente de minion dá +7% more dano ao macaco com Muster e o 2º esqueleto libera o Danse Macabre. Ative um por vez e só enquanto couber no Spirit: se o painel de skills mostrar Spirit negativo, desligue o último que entrou.</t>
        </is>
      </c>
    </row>
    <row r="39" ht="64" customHeight="1">
      <c r="A39" s="19" t="inlineStr">
        <is>
          <t>Interlúdios</t>
        </is>
      </c>
      <c r="B39" s="18" t="inlineStr">
        <is>
          <t>Skeletal Arsonist</t>
        </is>
      </c>
      <c r="C39" s="19" t="inlineStr">
        <is>
          <t>—</t>
        </is>
      </c>
      <c r="D39" s="19" t="inlineStr"/>
      <c r="E39" s="19" t="inlineStr"/>
      <c r="F39" s="19" t="inlineStr"/>
      <c r="G39" s="19" t="inlineStr"/>
      <c r="H39" s="19" t="inlineStr"/>
      <c r="I39" s="19" t="inlineStr">
        <is>
          <t>Tipo extra (Muster) · opcional</t>
        </is>
      </c>
      <c r="J39" s="19" t="inlineStr">
        <is>
          <t>Cada TIPO diferente de minion dá +7% more dano ao macaco com Muster e o 2º esqueleto libera o Danse Macabre. Ative um por vez e só enquanto couber no Spirit: se o painel de skills mostrar Spirit negativo, desligue o último que entrou.</t>
        </is>
      </c>
    </row>
    <row r="40" ht="64" customHeight="1">
      <c r="A40" s="19" t="inlineStr">
        <is>
          <t>Interlúdios</t>
        </is>
      </c>
      <c r="B40" s="18" t="inlineStr">
        <is>
          <t>Skeletal Sniper</t>
        </is>
      </c>
      <c r="C40" s="19" t="inlineStr">
        <is>
          <t>—</t>
        </is>
      </c>
      <c r="D40" s="19" t="inlineStr"/>
      <c r="E40" s="19" t="inlineStr"/>
      <c r="F40" s="19" t="inlineStr"/>
      <c r="G40" s="19" t="inlineStr"/>
      <c r="H40" s="19" t="inlineStr"/>
      <c r="I40" s="19" t="inlineStr">
        <is>
          <t>Tipo extra (Muster) · opcional</t>
        </is>
      </c>
      <c r="J40" s="19" t="inlineStr">
        <is>
          <t>Cada TIPO diferente de minion dá +7% more dano ao macaco com Muster e o 2º esqueleto libera o Danse Macabre. Ative um por vez e só enquanto couber no Spirit: se o painel de skills mostrar Spirit negativo, desligue o último que entrou.</t>
        </is>
      </c>
    </row>
    <row r="41" ht="64" customHeight="1">
      <c r="A41" s="19" t="inlineStr">
        <is>
          <t>Interlúdios</t>
        </is>
      </c>
      <c r="B41" s="18" t="inlineStr">
        <is>
          <t>Skeletal Reaver</t>
        </is>
      </c>
      <c r="C41" s="19" t="inlineStr">
        <is>
          <t>—</t>
        </is>
      </c>
      <c r="D41" s="19" t="inlineStr"/>
      <c r="E41" s="19" t="inlineStr"/>
      <c r="F41" s="19" t="inlineStr"/>
      <c r="G41" s="19" t="inlineStr"/>
      <c r="H41" s="19" t="inlineStr"/>
      <c r="I41" s="19" t="inlineStr">
        <is>
          <t>Tipo extra (Muster) · opcional</t>
        </is>
      </c>
      <c r="J41" s="19" t="inlineStr">
        <is>
          <t>Cada TIPO diferente de minion dá +7% more dano ao macaco com Muster e o 2º esqueleto libera o Danse Macabre. Ative um por vez e só enquanto couber no Spirit: se o painel de skills mostrar Spirit negativo, desligue o último que entrou.</t>
        </is>
      </c>
    </row>
    <row r="42" ht="34" customHeight="1">
      <c r="A42" s="19" t="inlineStr">
        <is>
          <t>Interlúdios</t>
        </is>
      </c>
      <c r="B42" s="18" t="inlineStr">
        <is>
          <t>Vulnerability</t>
        </is>
      </c>
      <c r="C42" s="19" t="inlineStr">
        <is>
          <t>—</t>
        </is>
      </c>
      <c r="D42" s="19" t="inlineStr">
        <is>
          <t>Prolonged Duration II</t>
        </is>
      </c>
      <c r="E42" s="19" t="inlineStr">
        <is>
          <t>Heightened Curse</t>
        </is>
      </c>
      <c r="F42" s="19" t="inlineStr"/>
      <c r="G42" s="19" t="inlineStr"/>
      <c r="H42" s="19" t="inlineStr"/>
      <c r="I42" s="19" t="inlineStr">
        <is>
          <t>Curse</t>
        </is>
      </c>
      <c r="J42" s="19" t="inlineStr">
        <is>
          <t>Inimigos amaldiçoados ignoram parte da Armour: o macaco (físico) bate cheio.</t>
        </is>
      </c>
    </row>
    <row r="43" ht="49" customHeight="1">
      <c r="A43" s="19" t="inlineStr">
        <is>
          <t>Interlúdios</t>
        </is>
      </c>
      <c r="B43" s="18" t="inlineStr">
        <is>
          <t>Pain Offering</t>
        </is>
      </c>
      <c r="C43" s="19" t="inlineStr">
        <is>
          <t>—</t>
        </is>
      </c>
      <c r="D43" s="19" t="inlineStr">
        <is>
          <t>Danse Macabre</t>
        </is>
      </c>
      <c r="E43" s="19" t="inlineStr">
        <is>
          <t>Prolonged Duration II</t>
        </is>
      </c>
      <c r="F43" s="19" t="inlineStr"/>
      <c r="G43" s="19" t="inlineStr"/>
      <c r="H43" s="19" t="inlineStr"/>
      <c r="I43" s="19" t="inlineStr">
        <is>
          <t>Buff de dano</t>
        </is>
      </c>
      <c r="J43" s="19" t="inlineStr">
        <is>
          <t>Com 2 esqueletos vivos (o Warrior + um tipo extra), o Danse Macabre funciona: +30% no buff. Com só 1 esqueleto, troque Danse Macabre por Sacrificial Offering.</t>
        </is>
      </c>
    </row>
    <row r="44" ht="19" customHeight="1">
      <c r="A44" s="19" t="inlineStr">
        <is>
          <t>Interlúdios</t>
        </is>
      </c>
      <c r="B44" s="18" t="inlineStr">
        <is>
          <t>Withering Presence</t>
        </is>
      </c>
      <c r="C44" s="19" t="inlineStr">
        <is>
          <t>—</t>
        </is>
      </c>
      <c r="D44" s="19" t="inlineStr"/>
      <c r="E44" s="19" t="inlineStr"/>
      <c r="F44" s="19" t="inlineStr"/>
      <c r="G44" s="19" t="inlineStr"/>
      <c r="H44" s="19" t="inlineStr"/>
      <c r="I44" s="19" t="inlineStr">
        <is>
          <t>Wither</t>
        </is>
      </c>
      <c r="J44" s="19" t="inlineStr">
        <is>
          <t>Continua com Evergrasping Ring.</t>
        </is>
      </c>
    </row>
    <row r="45" ht="19" customHeight="1">
      <c r="A45" s="19" t="inlineStr">
        <is>
          <t>Interlúdios</t>
        </is>
      </c>
      <c r="B45" s="18" t="inlineStr">
        <is>
          <t>Tame Beast (2º beast: aura)</t>
        </is>
      </c>
      <c r="C45" s="19" t="inlineStr">
        <is>
          <t>—</t>
        </is>
      </c>
      <c r="D45" s="19" t="inlineStr">
        <is>
          <t>Loyalty</t>
        </is>
      </c>
      <c r="E45" s="19" t="inlineStr">
        <is>
          <t>Last Gasp</t>
        </is>
      </c>
      <c r="F45" s="19" t="inlineStr"/>
      <c r="G45" s="19" t="inlineStr"/>
      <c r="H45" s="19" t="inlineStr"/>
      <c r="I45" s="19" t="inlineStr">
        <is>
          <t>Aura bot</t>
        </is>
      </c>
      <c r="J45" s="19" t="inlineStr">
        <is>
          <t>Aura.</t>
        </is>
      </c>
    </row>
    <row r="46" ht="49" customHeight="1">
      <c r="A46" s="26" t="inlineStr">
        <is>
          <t>Início do Atlas</t>
        </is>
      </c>
      <c r="B46" s="33" t="inlineStr">
        <is>
          <t>Tame Beast (Mighty Silverfist → Zekoa)</t>
        </is>
      </c>
      <c r="C46" s="26" t="inlineStr">
        <is>
          <t>—</t>
        </is>
      </c>
      <c r="D46" s="26" t="inlineStr">
        <is>
          <t>Feeding Frenzy II</t>
        </is>
      </c>
      <c r="E46" s="26" t="inlineStr">
        <is>
          <t>Rage III</t>
        </is>
      </c>
      <c r="F46" s="26" t="inlineStr">
        <is>
          <t>Rapid Attacks II</t>
        </is>
      </c>
      <c r="G46" s="26" t="inlineStr">
        <is>
          <t>Heft</t>
        </is>
      </c>
      <c r="H46" s="26" t="inlineStr">
        <is>
          <t>Muster</t>
        </is>
      </c>
      <c r="I46" s="26" t="inlineStr">
        <is>
          <t>CARRY</t>
        </is>
      </c>
      <c r="J46" s="26" t="inlineStr">
        <is>
          <t>Com a Catha, cada golpe do macaco ganha 60% do dano da Chober Chaber. Rage III e Rapid Attacks II = mais golpes; Heft = golpes maiores.</t>
        </is>
      </c>
    </row>
    <row r="47" ht="19" customHeight="1">
      <c r="A47" s="26" t="inlineStr">
        <is>
          <t>Início do Atlas</t>
        </is>
      </c>
      <c r="B47" s="27" t="inlineStr">
        <is>
          <t>Wild Protector</t>
        </is>
      </c>
      <c r="C47" s="26" t="inlineStr">
        <is>
          <t>Asc.</t>
        </is>
      </c>
      <c r="D47" s="26" t="inlineStr">
        <is>
          <t>Magnified Area I</t>
        </is>
      </c>
      <c r="E47" s="26" t="inlineStr">
        <is>
          <t>Armour Break III</t>
        </is>
      </c>
      <c r="F47" s="26" t="inlineStr">
        <is>
          <t>Minion Splash II</t>
        </is>
      </c>
      <c r="G47" s="26" t="inlineStr">
        <is>
          <t>Minion Mastery</t>
        </is>
      </c>
      <c r="H47" s="26" t="inlineStr"/>
      <c r="I47" s="26" t="inlineStr">
        <is>
          <t>Tank + Armour Break</t>
        </is>
      </c>
      <c r="J47" s="26" t="inlineStr">
        <is>
          <t>Também recebe a Catha's Balance.</t>
        </is>
      </c>
    </row>
    <row r="48" ht="19" customHeight="1">
      <c r="A48" s="26" t="inlineStr">
        <is>
          <t>Início do Atlas</t>
        </is>
      </c>
      <c r="B48" s="27" t="inlineStr">
        <is>
          <t>Skeletal Warrior</t>
        </is>
      </c>
      <c r="C48" s="26" t="inlineStr">
        <is>
          <t>—</t>
        </is>
      </c>
      <c r="D48" s="26" t="inlineStr">
        <is>
          <t>Amanamu's Tithe</t>
        </is>
      </c>
      <c r="E48" s="26" t="inlineStr">
        <is>
          <t>Sacrificial Lamb II</t>
        </is>
      </c>
      <c r="F48" s="26" t="inlineStr">
        <is>
          <t>Meat Shield I</t>
        </is>
      </c>
      <c r="G48" s="26" t="inlineStr"/>
      <c r="H48" s="26" t="inlineStr"/>
      <c r="I48" s="26" t="inlineStr">
        <is>
          <t>Combustível</t>
        </is>
      </c>
      <c r="J48" s="26" t="inlineStr">
        <is>
          <t>Continua vindo do Rattling Sceptre.</t>
        </is>
      </c>
    </row>
    <row r="49" ht="34" customHeight="1">
      <c r="A49" s="26" t="inlineStr">
        <is>
          <t>Início do Atlas</t>
        </is>
      </c>
      <c r="B49" s="27" t="inlineStr">
        <is>
          <t>Pain Offering</t>
        </is>
      </c>
      <c r="C49" s="26" t="inlineStr">
        <is>
          <t>—</t>
        </is>
      </c>
      <c r="D49" s="26" t="inlineStr">
        <is>
          <t>Danse Macabre</t>
        </is>
      </c>
      <c r="E49" s="26" t="inlineStr">
        <is>
          <t>Prolonged Duration II</t>
        </is>
      </c>
      <c r="F49" s="26" t="inlineStr">
        <is>
          <t>Sacrificial Offering</t>
        </is>
      </c>
      <c r="G49" s="26" t="inlineStr"/>
      <c r="H49" s="26" t="inlineStr"/>
      <c r="I49" s="26" t="inlineStr">
        <is>
          <t>Buff de dano</t>
        </is>
      </c>
      <c r="J49" s="26" t="inlineStr">
        <is>
          <t>Sacrificial Offering: sacrifica 15% da sua vida por +30% efeito e 30% more dano.</t>
        </is>
      </c>
    </row>
    <row r="50" ht="19" customHeight="1">
      <c r="A50" s="26" t="inlineStr">
        <is>
          <t>Início do Atlas</t>
        </is>
      </c>
      <c r="B50" s="27" t="inlineStr">
        <is>
          <t>Skeletal Sniper</t>
        </is>
      </c>
      <c r="C50" s="26" t="inlineStr">
        <is>
          <t>—</t>
        </is>
      </c>
      <c r="D50" s="26" t="inlineStr"/>
      <c r="E50" s="26" t="inlineStr"/>
      <c r="F50" s="26" t="inlineStr"/>
      <c r="G50" s="26" t="inlineStr"/>
      <c r="H50" s="26" t="inlineStr"/>
      <c r="I50" s="26" t="inlineStr">
        <is>
          <t>Tipo extra (Muster) · opcional</t>
        </is>
      </c>
      <c r="J50" s="26" t="inlineStr">
        <is>
          <t>Tipo de minion para o Muster.</t>
        </is>
      </c>
    </row>
    <row r="51" ht="19" customHeight="1">
      <c r="A51" s="26" t="inlineStr">
        <is>
          <t>Início do Atlas</t>
        </is>
      </c>
      <c r="B51" s="27" t="inlineStr">
        <is>
          <t>Skeletal Reaver</t>
        </is>
      </c>
      <c r="C51" s="26" t="inlineStr">
        <is>
          <t>—</t>
        </is>
      </c>
      <c r="D51" s="26" t="inlineStr"/>
      <c r="E51" s="26" t="inlineStr"/>
      <c r="F51" s="26" t="inlineStr"/>
      <c r="G51" s="26" t="inlineStr"/>
      <c r="H51" s="26" t="inlineStr"/>
      <c r="I51" s="26" t="inlineStr">
        <is>
          <t>Tipo extra (Muster) · opcional</t>
        </is>
      </c>
      <c r="J51" s="26" t="inlineStr">
        <is>
          <t>Tipo de minion para o Muster.</t>
        </is>
      </c>
    </row>
    <row r="52" ht="34" customHeight="1">
      <c r="A52" s="26" t="inlineStr">
        <is>
          <t>Início do Atlas</t>
        </is>
      </c>
      <c r="B52" s="27" t="inlineStr">
        <is>
          <t>Skeletal Cleric</t>
        </is>
      </c>
      <c r="C52" s="26" t="inlineStr">
        <is>
          <t>—</t>
        </is>
      </c>
      <c r="D52" s="26" t="inlineStr"/>
      <c r="E52" s="26" t="inlineStr"/>
      <c r="F52" s="26" t="inlineStr"/>
      <c r="G52" s="26" t="inlineStr"/>
      <c r="H52" s="26" t="inlineStr"/>
      <c r="I52" s="26" t="inlineStr">
        <is>
          <t>Cura + revive esqueletos</t>
        </is>
      </c>
      <c r="J52" s="26" t="inlineStr">
        <is>
          <t>Revive os esqueletos que o Pain Offering consome e cura o zoo. Também é esqueleto: serve de alvo do Pain Offering.</t>
        </is>
      </c>
    </row>
    <row r="53" ht="34" customHeight="1">
      <c r="A53" s="26" t="inlineStr">
        <is>
          <t>Início do Atlas</t>
        </is>
      </c>
      <c r="B53" s="27" t="inlineStr">
        <is>
          <t>Despair</t>
        </is>
      </c>
      <c r="C53" s="26" t="inlineStr">
        <is>
          <t>—</t>
        </is>
      </c>
      <c r="D53" s="26" t="inlineStr">
        <is>
          <t>Prolonged Duration II</t>
        </is>
      </c>
      <c r="E53" s="26" t="inlineStr">
        <is>
          <t>Heightened Curse</t>
        </is>
      </c>
      <c r="F53" s="26" t="inlineStr">
        <is>
          <t>Rapid Casting I</t>
        </is>
      </c>
      <c r="G53" s="26" t="inlineStr"/>
      <c r="H53" s="26" t="inlineStr"/>
      <c r="I53" s="26" t="inlineStr">
        <is>
          <t>Curse de chaos</t>
        </is>
      </c>
      <c r="J53" s="26" t="inlineStr">
        <is>
          <t>Tira até 49% de resistência a chaos: o chaos do Evergrasping Ring bate muito mais.</t>
        </is>
      </c>
    </row>
    <row r="54" ht="19" customHeight="1">
      <c r="A54" s="26" t="inlineStr">
        <is>
          <t>Início do Atlas</t>
        </is>
      </c>
      <c r="B54" s="27" t="inlineStr">
        <is>
          <t>Tame Beast (2º beast: aura)</t>
        </is>
      </c>
      <c r="C54" s="26" t="inlineStr">
        <is>
          <t>—</t>
        </is>
      </c>
      <c r="D54" s="26" t="inlineStr">
        <is>
          <t>Last Gasp</t>
        </is>
      </c>
      <c r="E54" s="26" t="inlineStr">
        <is>
          <t>Magnified Area I</t>
        </is>
      </c>
      <c r="F54" s="26" t="inlineStr">
        <is>
          <t>Meat Shield I</t>
        </is>
      </c>
      <c r="G54" s="26" t="inlineStr"/>
      <c r="H54" s="26" t="inlineStr"/>
      <c r="I54" s="26" t="inlineStr">
        <is>
          <t>Aura bot</t>
        </is>
      </c>
      <c r="J54" s="26" t="inlineStr">
        <is>
          <t>Meat Shield: ele só precisa sobreviver com a aura.</t>
        </is>
      </c>
    </row>
    <row r="55" ht="19" customHeight="1">
      <c r="A55" s="26" t="inlineStr">
        <is>
          <t>Início do Atlas</t>
        </is>
      </c>
      <c r="B55" s="27" t="inlineStr">
        <is>
          <t>Sniper's Mark</t>
        </is>
      </c>
      <c r="C55" s="26" t="inlineStr">
        <is>
          <t>—</t>
        </is>
      </c>
      <c r="D55" s="26" t="inlineStr">
        <is>
          <t>Mark for Death</t>
        </is>
      </c>
      <c r="E55" s="26" t="inlineStr"/>
      <c r="F55" s="26" t="inlineStr"/>
      <c r="G55" s="26" t="inlineStr"/>
      <c r="H55" s="26" t="inlineStr"/>
      <c r="I55" s="26" t="inlineStr">
        <is>
          <t>Marca</t>
        </is>
      </c>
      <c r="J55" s="26" t="inlineStr">
        <is>
          <t>Quebra Armour do alvo.</t>
        </is>
      </c>
    </row>
    <row r="56" ht="49" customHeight="1">
      <c r="A56" s="26" t="inlineStr">
        <is>
          <t>Início do Atlas</t>
        </is>
      </c>
      <c r="B56" s="27" t="inlineStr">
        <is>
          <t>Refutation</t>
        </is>
      </c>
      <c r="C56" s="26" t="inlineStr">
        <is>
          <t>—</t>
        </is>
      </c>
      <c r="D56" s="26" t="inlineStr">
        <is>
          <t>Prolonged Duration II</t>
        </is>
      </c>
      <c r="E56" s="26" t="inlineStr">
        <is>
          <t>Cooldown Recovery II</t>
        </is>
      </c>
      <c r="F56" s="26" t="inlineStr">
        <is>
          <t>Efficiency II</t>
        </is>
      </c>
      <c r="G56" s="26" t="inlineStr">
        <is>
          <t>Rapid Casting II</t>
        </is>
      </c>
      <c r="H56" s="26" t="inlineStr"/>
      <c r="I56" s="26" t="inlineStr">
        <is>
          <t>Defesa ativa</t>
        </is>
      </c>
      <c r="J56" s="26" t="inlineStr">
        <is>
          <t>Gasta todo o seu Runic Ward para bloquear TODOS os hits por um tempo. Runic Ward vem de itens Runeforged/Runemastered — por isso o Mattjestic usa armaduras Runeforged.</t>
        </is>
      </c>
    </row>
    <row r="57" ht="34" customHeight="1">
      <c r="A57" s="19" t="inlineStr">
        <is>
          <t>T15+ (Effigy)</t>
        </is>
      </c>
      <c r="B57" s="18" t="inlineStr">
        <is>
          <t>Tame Beast (Zekoa, the Headcrusher)</t>
        </is>
      </c>
      <c r="C57" s="19" t="inlineStr">
        <is>
          <t>—</t>
        </is>
      </c>
      <c r="D57" s="19" t="inlineStr">
        <is>
          <t>Feeding Frenzy II</t>
        </is>
      </c>
      <c r="E57" s="19" t="inlineStr">
        <is>
          <t>Rage III</t>
        </is>
      </c>
      <c r="F57" s="19" t="inlineStr">
        <is>
          <t>Muster</t>
        </is>
      </c>
      <c r="G57" s="19" t="inlineStr">
        <is>
          <t>Heft</t>
        </is>
      </c>
      <c r="H57" s="19" t="inlineStr">
        <is>
          <t>Rapid Attacks II</t>
        </is>
      </c>
      <c r="I57" s="19" t="inlineStr">
        <is>
          <t>CARRY</t>
        </is>
      </c>
      <c r="J57" s="19" t="inlineStr">
        <is>
          <t>A versão de Atlas do Silverfist (mapas Riverside/Rupture) pode ter mais modificadores.</t>
        </is>
      </c>
    </row>
    <row r="58" ht="34" customHeight="1">
      <c r="A58" s="19" t="inlineStr">
        <is>
          <t>T15+ (Effigy)</t>
        </is>
      </c>
      <c r="B58" s="28" t="inlineStr">
        <is>
          <t>Azmerian Wolf</t>
        </is>
      </c>
      <c r="C58" s="19" t="inlineStr">
        <is>
          <t>Effigy</t>
        </is>
      </c>
      <c r="D58" s="19" t="inlineStr">
        <is>
          <t>Feeding Frenzy II</t>
        </is>
      </c>
      <c r="E58" s="19" t="inlineStr">
        <is>
          <t>Rapid Attacks II</t>
        </is>
      </c>
      <c r="F58" s="19" t="inlineStr">
        <is>
          <t>Rage III</t>
        </is>
      </c>
      <c r="G58" s="19" t="inlineStr">
        <is>
          <t>Hulking Minions</t>
        </is>
      </c>
      <c r="H58" s="19" t="inlineStr">
        <is>
          <t>Loyalty</t>
        </is>
      </c>
      <c r="I58" s="19" t="inlineStr">
        <is>
          <t>2º dano</t>
        </is>
      </c>
      <c r="J58" s="19" t="inlineStr">
        <is>
          <t>Vem do Sylvan's Effigy. Hulking Minions deixa o lobo Gigantic (mais vida e dano).</t>
        </is>
      </c>
    </row>
    <row r="59" ht="49" customHeight="1">
      <c r="A59" s="19" t="inlineStr">
        <is>
          <t>T15+ (Effigy)</t>
        </is>
      </c>
      <c r="B59" s="18" t="inlineStr">
        <is>
          <t>Wild Protector</t>
        </is>
      </c>
      <c r="C59" s="19" t="inlineStr">
        <is>
          <t>Asc.</t>
        </is>
      </c>
      <c r="D59" s="19" t="inlineStr">
        <is>
          <t>Hulking Minions</t>
        </is>
      </c>
      <c r="E59" s="19" t="inlineStr">
        <is>
          <t>Feeding Frenzy II</t>
        </is>
      </c>
      <c r="F59" s="19" t="inlineStr">
        <is>
          <t>Muster</t>
        </is>
      </c>
      <c r="G59" s="19" t="inlineStr">
        <is>
          <t>Romira's Requital</t>
        </is>
      </c>
      <c r="H59" s="19" t="inlineStr">
        <is>
          <t>Catha's Brilliance</t>
        </is>
      </c>
      <c r="I59" s="19" t="inlineStr">
        <is>
          <t>Tank + sustain</t>
        </is>
      </c>
      <c r="J59" s="19" t="inlineStr">
        <is>
          <t>Romira's Requital: o urso toma 10% do seu dano e você recupera 200% disso como vida. Catha's Brilliance: blind + ignite em volta dele.</t>
        </is>
      </c>
    </row>
    <row r="60" ht="34" customHeight="1">
      <c r="A60" s="19" t="inlineStr">
        <is>
          <t>T15+ (Effigy)</t>
        </is>
      </c>
      <c r="B60" s="18" t="inlineStr">
        <is>
          <t>Spirit Vessel</t>
        </is>
      </c>
      <c r="C60" s="19" t="inlineStr">
        <is>
          <t>—</t>
        </is>
      </c>
      <c r="D60" s="19" t="inlineStr">
        <is>
          <t>Loyalty</t>
        </is>
      </c>
      <c r="E60" s="19" t="inlineStr">
        <is>
          <t>Furious Slam</t>
        </is>
      </c>
      <c r="F60" s="19" t="inlineStr">
        <is>
          <t>Arctic Howl</t>
        </is>
      </c>
      <c r="G60" s="19" t="inlineStr">
        <is>
          <t>Rapid Attacks II</t>
        </is>
      </c>
      <c r="H60" s="19" t="inlineStr">
        <is>
          <t>Rage III</t>
        </is>
      </c>
      <c r="I60" s="19" t="inlineStr">
        <is>
          <t>Companion grátis</t>
        </is>
      </c>
      <c r="J60" s="19" t="inlineStr">
        <is>
          <t>Vem do Forgotten Warden. Furious Slam (Bear) e Arctic Howl (Werewolf) socketados: +20% more dano por skill diferente.</t>
        </is>
      </c>
    </row>
    <row r="61" ht="34" customHeight="1">
      <c r="A61" s="19" t="inlineStr">
        <is>
          <t>T15+ (Effigy)</t>
        </is>
      </c>
      <c r="B61" s="18" t="inlineStr">
        <is>
          <t>Wolf Pack</t>
        </is>
      </c>
      <c r="C61" s="19" t="inlineStr">
        <is>
          <t>—</t>
        </is>
      </c>
      <c r="D61" s="19" t="inlineStr">
        <is>
          <t>Rapid Attacks II</t>
        </is>
      </c>
      <c r="E61" s="19" t="inlineStr">
        <is>
          <t>Feeding Frenzy II</t>
        </is>
      </c>
      <c r="F61" s="19" t="inlineStr">
        <is>
          <t>Loyalty</t>
        </is>
      </c>
      <c r="G61" s="19" t="inlineStr">
        <is>
          <t>Rage III</t>
        </is>
      </c>
      <c r="H61" s="19" t="inlineStr">
        <is>
          <t>Withering Touch</t>
        </is>
      </c>
      <c r="I61" s="19" t="inlineStr">
        <is>
          <t>Corpos + Wither</t>
        </is>
      </c>
      <c r="J61" s="19" t="inlineStr">
        <is>
          <t>Vários lobos contam como um companion. Withering Touch aplica Wither para o chaos.</t>
        </is>
      </c>
    </row>
    <row r="62" ht="64" customHeight="1">
      <c r="A62" s="19" t="inlineStr">
        <is>
          <t>T15+ (Effigy)</t>
        </is>
      </c>
      <c r="B62" s="18" t="inlineStr">
        <is>
          <t>Pain Offering</t>
        </is>
      </c>
      <c r="C62" s="19" t="inlineStr">
        <is>
          <t>—</t>
        </is>
      </c>
      <c r="D62" s="19" t="inlineStr">
        <is>
          <t>Danse Macabre</t>
        </is>
      </c>
      <c r="E62" s="19" t="inlineStr">
        <is>
          <t>Prolonged Duration II</t>
        </is>
      </c>
      <c r="F62" s="19" t="inlineStr">
        <is>
          <t>Sacrificial Offering</t>
        </is>
      </c>
      <c r="G62" s="19" t="inlineStr">
        <is>
          <t>Brutus' Brain</t>
        </is>
      </c>
      <c r="H62" s="19" t="inlineStr"/>
      <c r="I62" s="19" t="inlineStr">
        <is>
          <t>Buff de dano</t>
        </is>
      </c>
      <c r="J62" s="19" t="inlineStr">
        <is>
          <t>Brutus' Brain: o espinho não pode ser destruído, então o buff nunca cai. Danse Macabre só funciona com 2 esqueletos vivos: se você tiver só 1 Skeletal Cleric vivo, tire o Danse Macabre (os outros supports continuam valendo).</t>
        </is>
      </c>
    </row>
    <row r="63" ht="49" customHeight="1">
      <c r="A63" s="19" t="inlineStr">
        <is>
          <t>T15+ (Effigy)</t>
        </is>
      </c>
      <c r="B63" s="18" t="inlineStr">
        <is>
          <t>Skeletal Cleric</t>
        </is>
      </c>
      <c r="C63" s="19" t="inlineStr">
        <is>
          <t>—</t>
        </is>
      </c>
      <c r="D63" s="19" t="inlineStr">
        <is>
          <t>Sacrificial Lamb II</t>
        </is>
      </c>
      <c r="E63" s="19" t="inlineStr">
        <is>
          <t>Tecrod's Revenge</t>
        </is>
      </c>
      <c r="F63" s="19" t="inlineStr">
        <is>
          <t>Meat Shield II</t>
        </is>
      </c>
      <c r="G63" s="19" t="inlineStr">
        <is>
          <t>Elemental Army</t>
        </is>
      </c>
      <c r="H63" s="19" t="inlineStr"/>
      <c r="I63" s="19" t="inlineStr">
        <is>
          <t>Alvo do Pain Offering</t>
        </is>
      </c>
      <c r="J63" s="19" t="inlineStr">
        <is>
          <t>Sem Rattling Sceptre, o Cleric é o esqueleto espetado (Sacrificial Lamb II). Tecrod's Revenge mantém ele lutando 20 s depois de morrer.</t>
        </is>
      </c>
    </row>
    <row r="64" ht="34" customHeight="1">
      <c r="A64" s="19" t="inlineStr">
        <is>
          <t>T15+ (Effigy)</t>
        </is>
      </c>
      <c r="B64" s="18" t="inlineStr">
        <is>
          <t>Voltaic Mark</t>
        </is>
      </c>
      <c r="C64" s="19" t="inlineStr">
        <is>
          <t>—</t>
        </is>
      </c>
      <c r="D64" s="19" t="inlineStr">
        <is>
          <t>Cooldown Recovery II</t>
        </is>
      </c>
      <c r="E64" s="19" t="inlineStr">
        <is>
          <t>Eternal Mark</t>
        </is>
      </c>
      <c r="F64" s="19" t="inlineStr">
        <is>
          <t>Mark for Death II</t>
        </is>
      </c>
      <c r="G64" s="19" t="inlineStr">
        <is>
          <t>Prolonged Duration II</t>
        </is>
      </c>
      <c r="H64" s="19" t="inlineStr"/>
      <c r="I64" s="19" t="inlineStr">
        <is>
          <t>Marca o boss</t>
        </is>
      </c>
      <c r="J64" s="19" t="inlineStr">
        <is>
          <t>Eternal Mark: não é consumida na primeira ativação. Mark for Death II: quebra Armour.</t>
        </is>
      </c>
    </row>
    <row r="65" ht="49" customHeight="1">
      <c r="A65" s="19" t="inlineStr">
        <is>
          <t>T15+ (Effigy)</t>
        </is>
      </c>
      <c r="B65" s="18" t="inlineStr">
        <is>
          <t>Mace Strike</t>
        </is>
      </c>
      <c r="C65" s="19" t="inlineStr">
        <is>
          <t>—</t>
        </is>
      </c>
      <c r="D65" s="19" t="inlineStr">
        <is>
          <t>Einhar's Beastrite</t>
        </is>
      </c>
      <c r="E65" s="19" t="inlineStr">
        <is>
          <t>Culling Strike II</t>
        </is>
      </c>
      <c r="F65" s="19" t="inlineStr">
        <is>
          <t>Rage III</t>
        </is>
      </c>
      <c r="G65" s="19" t="inlineStr">
        <is>
          <t>Rapid Attacks II</t>
        </is>
      </c>
      <c r="H65" s="19" t="inlineStr">
        <is>
          <t>Magnified Area II</t>
        </is>
      </c>
      <c r="I65" s="19" t="inlineStr">
        <is>
          <t>Rouba modificadores</t>
        </is>
      </c>
      <c r="J65" s="19" t="inlineStr">
        <is>
          <t>Vem da Chober Chaber. Não é dano: só finaliza inimigos com vida baixa, e cada raro finalizado te dá 2 modificadores dele (Haste, Extra Damage…) por 5 minutos.</t>
        </is>
      </c>
    </row>
    <row r="66" ht="49" customHeight="1">
      <c r="A66" s="19" t="inlineStr">
        <is>
          <t>T15+ (Effigy)</t>
        </is>
      </c>
      <c r="B66" s="18" t="inlineStr">
        <is>
          <t>Tame Beast (auras ×3)</t>
        </is>
      </c>
      <c r="C66" s="19" t="inlineStr">
        <is>
          <t>—</t>
        </is>
      </c>
      <c r="D66" s="19" t="inlineStr">
        <is>
          <t>Loyalty</t>
        </is>
      </c>
      <c r="E66" s="19" t="inlineStr">
        <is>
          <t>Rage III</t>
        </is>
      </c>
      <c r="F66" s="19" t="inlineStr">
        <is>
          <t>Muster</t>
        </is>
      </c>
      <c r="G66" s="19" t="inlineStr">
        <is>
          <t>Feeding Frenzy II</t>
        </is>
      </c>
      <c r="H66" s="19" t="inlineStr">
        <is>
          <t>Rapid Attacks II</t>
        </is>
      </c>
      <c r="I66" s="19" t="inlineStr">
        <is>
          <t>Aura bots</t>
        </is>
      </c>
      <c r="J66" s="19" t="inlineStr">
        <is>
          <t>3 beasts de aura (Haste/Physical/ES/Invulnerability). No Tier-list do Mattjestic: Quill/Coconut Crab (24,9%), Swarming Wisp (21%), Crag Leaper (23,1%).</t>
        </is>
      </c>
    </row>
    <row r="67" ht="19" customHeight="1">
      <c r="A67" s="19" t="inlineStr">
        <is>
          <t>T15+ (Effigy)</t>
        </is>
      </c>
      <c r="B67" s="18" t="inlineStr">
        <is>
          <t>Discipline</t>
        </is>
      </c>
      <c r="C67" s="19" t="inlineStr">
        <is>
          <t>Effigy</t>
        </is>
      </c>
      <c r="D67" s="19" t="inlineStr"/>
      <c r="E67" s="19" t="inlineStr"/>
      <c r="F67" s="19" t="inlineStr"/>
      <c r="G67" s="19" t="inlineStr"/>
      <c r="H67" s="19" t="inlineStr"/>
      <c r="I67" s="19" t="inlineStr">
        <is>
          <t>Aura de ES</t>
        </is>
      </c>
      <c r="J67" s="19" t="inlineStr">
        <is>
          <t>Vem do Effigy.</t>
        </is>
      </c>
    </row>
    <row r="68" ht="34" customHeight="1">
      <c r="A68" s="19" t="inlineStr">
        <is>
          <t>T15+ (Effigy)</t>
        </is>
      </c>
      <c r="B68" s="18" t="inlineStr">
        <is>
          <t>Sanguine Revelry</t>
        </is>
      </c>
      <c r="C68" s="19" t="inlineStr">
        <is>
          <t>—</t>
        </is>
      </c>
      <c r="D68" s="19" t="inlineStr"/>
      <c r="E68" s="19" t="inlineStr"/>
      <c r="F68" s="19" t="inlineStr"/>
      <c r="G68" s="19" t="inlineStr"/>
      <c r="H68" s="19" t="inlineStr"/>
      <c r="I68" s="19" t="inlineStr">
        <is>
          <t>Rage + vida</t>
        </is>
      </c>
      <c r="J68" s="19" t="inlineStr">
        <is>
          <t>Vem do Spiteful Floret no weapon set 2: Remnants de inimigos com bleed dão Rage e vida.</t>
        </is>
      </c>
    </row>
    <row r="69" ht="19" customHeight="1">
      <c r="A69" s="19" t="inlineStr">
        <is>
          <t>T15+ (Effigy)</t>
        </is>
      </c>
      <c r="B69" s="18" t="inlineStr">
        <is>
          <t>Refutation</t>
        </is>
      </c>
      <c r="C69" s="19" t="inlineStr">
        <is>
          <t>—</t>
        </is>
      </c>
      <c r="D69" s="19" t="inlineStr">
        <is>
          <t>Prolonged Duration II</t>
        </is>
      </c>
      <c r="E69" s="19" t="inlineStr">
        <is>
          <t>Cooldown Recovery II</t>
        </is>
      </c>
      <c r="F69" s="19" t="inlineStr">
        <is>
          <t>Efficiency II</t>
        </is>
      </c>
      <c r="G69" s="19" t="inlineStr">
        <is>
          <t>Rapid Casting II</t>
        </is>
      </c>
      <c r="H69" s="19" t="inlineStr">
        <is>
          <t>Mobility</t>
        </is>
      </c>
      <c r="I69" s="19" t="inlineStr">
        <is>
          <t>Defesa ativa</t>
        </is>
      </c>
      <c r="J69" s="19" t="inlineStr">
        <is>
          <t>Mobility: pode andar enquanto o buff está ativo.</t>
        </is>
      </c>
    </row>
    <row r="70" ht="49" customHeight="1">
      <c r="A70" s="26" t="inlineStr">
        <is>
          <t>Arbiter / Min-max</t>
        </is>
      </c>
      <c r="B70" s="27" t="inlineStr">
        <is>
          <t>Tame Beast (Zekoa, the Headcrusher)</t>
        </is>
      </c>
      <c r="C70" s="26" t="inlineStr">
        <is>
          <t>—</t>
        </is>
      </c>
      <c r="D70" s="26" t="inlineStr">
        <is>
          <t>Rage III</t>
        </is>
      </c>
      <c r="E70" s="26" t="inlineStr">
        <is>
          <t>Muster</t>
        </is>
      </c>
      <c r="F70" s="26" t="inlineStr">
        <is>
          <t>Heft</t>
        </is>
      </c>
      <c r="G70" s="26" t="inlineStr">
        <is>
          <t>Feeding Frenzy II</t>
        </is>
      </c>
      <c r="H70" s="26" t="inlineStr">
        <is>
          <t>Rapid Attacks II</t>
        </is>
      </c>
      <c r="I70" s="26" t="inlineStr">
        <is>
          <t>CARRY (bossing)</t>
        </is>
      </c>
      <c r="J70" s="26" t="inlineStr">
        <is>
          <t>Setup de boss. Para mapear, troque Heft/Feeding Frenzy/Rapid Attacks por Minion Splash II + Infernal Legion I + Tecrod's Revenge (dano em área).</t>
        </is>
      </c>
    </row>
    <row r="71" ht="19" customHeight="1">
      <c r="A71" s="26" t="inlineStr">
        <is>
          <t>Arbiter / Min-max</t>
        </is>
      </c>
      <c r="B71" s="33" t="inlineStr">
        <is>
          <t>Azmerian Wolf</t>
        </is>
      </c>
      <c r="C71" s="26" t="inlineStr">
        <is>
          <t>Effigy</t>
        </is>
      </c>
      <c r="D71" s="26" t="inlineStr">
        <is>
          <t>Loyalty</t>
        </is>
      </c>
      <c r="E71" s="26" t="inlineStr">
        <is>
          <t>Rage III</t>
        </is>
      </c>
      <c r="F71" s="26" t="inlineStr">
        <is>
          <t>Muster</t>
        </is>
      </c>
      <c r="G71" s="26" t="inlineStr">
        <is>
          <t>Feeding Frenzy II</t>
        </is>
      </c>
      <c r="H71" s="26" t="inlineStr">
        <is>
          <t>Rapid Attacks II</t>
        </is>
      </c>
      <c r="I71" s="26" t="inlineStr">
        <is>
          <t>2º dano</t>
        </is>
      </c>
      <c r="J71" s="26" t="inlineStr">
        <is>
          <t>Loyalty no lugar de Hulking Minions: menos Spirit.</t>
        </is>
      </c>
    </row>
    <row r="72" ht="19" customHeight="1">
      <c r="A72" s="26" t="inlineStr">
        <is>
          <t>Arbiter / Min-max</t>
        </is>
      </c>
      <c r="B72" s="27" t="inlineStr">
        <is>
          <t>Wild Protector</t>
        </is>
      </c>
      <c r="C72" s="26" t="inlineStr">
        <is>
          <t>Asc.</t>
        </is>
      </c>
      <c r="D72" s="26" t="inlineStr">
        <is>
          <t>Romira's Requital</t>
        </is>
      </c>
      <c r="E72" s="26" t="inlineStr">
        <is>
          <t>Rage III</t>
        </is>
      </c>
      <c r="F72" s="26" t="inlineStr">
        <is>
          <t>Muster</t>
        </is>
      </c>
      <c r="G72" s="26" t="inlineStr">
        <is>
          <t>Rapid Attacks II</t>
        </is>
      </c>
      <c r="H72" s="26" t="inlineStr">
        <is>
          <t>Catha's Brilliance</t>
        </is>
      </c>
      <c r="I72" s="26" t="inlineStr">
        <is>
          <t>Tank + sustain</t>
        </is>
      </c>
      <c r="J72" s="26" t="inlineStr">
        <is>
          <t>Romira's Requital continua sendo a maior fonte de vida.</t>
        </is>
      </c>
    </row>
    <row r="73" ht="19" customHeight="1">
      <c r="A73" s="26" t="inlineStr">
        <is>
          <t>Arbiter / Min-max</t>
        </is>
      </c>
      <c r="B73" s="27" t="inlineStr">
        <is>
          <t>Spirit Vessel</t>
        </is>
      </c>
      <c r="C73" s="26" t="inlineStr">
        <is>
          <t>—</t>
        </is>
      </c>
      <c r="D73" s="26" t="inlineStr">
        <is>
          <t>Loyalty</t>
        </is>
      </c>
      <c r="E73" s="26" t="inlineStr">
        <is>
          <t>Devour</t>
        </is>
      </c>
      <c r="F73" s="26" t="inlineStr">
        <is>
          <t>Oil Barrage</t>
        </is>
      </c>
      <c r="G73" s="26" t="inlineStr">
        <is>
          <t>Salvo</t>
        </is>
      </c>
      <c r="H73" s="26" t="inlineStr">
        <is>
          <t>Living Lightning II</t>
        </is>
      </c>
      <c r="I73" s="26" t="inlineStr">
        <is>
          <t>Companion grátis</t>
        </is>
      </c>
      <c r="J73" s="26" t="inlineStr">
        <is>
          <t>4 skills diferentes socketadas = +80% more dano do Vessel.</t>
        </is>
      </c>
    </row>
    <row r="74" ht="19" customHeight="1">
      <c r="A74" s="26" t="inlineStr">
        <is>
          <t>Arbiter / Min-max</t>
        </is>
      </c>
      <c r="B74" s="27" t="inlineStr">
        <is>
          <t>Wolf Pack</t>
        </is>
      </c>
      <c r="C74" s="26" t="inlineStr">
        <is>
          <t>—</t>
        </is>
      </c>
      <c r="D74" s="26" t="inlineStr">
        <is>
          <t>Loyalty</t>
        </is>
      </c>
      <c r="E74" s="26" t="inlineStr">
        <is>
          <t>Elemental Army</t>
        </is>
      </c>
      <c r="F74" s="26" t="inlineStr">
        <is>
          <t>Infernal Legion I</t>
        </is>
      </c>
      <c r="G74" s="26" t="inlineStr">
        <is>
          <t>Withering Touch</t>
        </is>
      </c>
      <c r="H74" s="26" t="inlineStr">
        <is>
          <t>Amanamu's Tithe</t>
        </is>
      </c>
      <c r="I74" s="26" t="inlineStr">
        <is>
          <t>Corpos + Wither + buffs</t>
        </is>
      </c>
      <c r="J74" s="26" t="inlineStr">
        <is>
          <t>Amanamu's Tithe: lobos morrendo te dão modificadores Abyssal.</t>
        </is>
      </c>
    </row>
    <row r="75" ht="19" customHeight="1">
      <c r="A75" s="26" t="inlineStr">
        <is>
          <t>Arbiter / Min-max</t>
        </is>
      </c>
      <c r="B75" s="27" t="inlineStr">
        <is>
          <t>Tame Beast (auras ×5)</t>
        </is>
      </c>
      <c r="C75" s="26" t="inlineStr">
        <is>
          <t>—</t>
        </is>
      </c>
      <c r="D75" s="26" t="inlineStr">
        <is>
          <t>Loyalty</t>
        </is>
      </c>
      <c r="E75" s="26" t="inlineStr">
        <is>
          <t>Last Gasp</t>
        </is>
      </c>
      <c r="F75" s="26" t="inlineStr">
        <is>
          <t>Elemental Army</t>
        </is>
      </c>
      <c r="G75" s="26" t="inlineStr">
        <is>
          <t>Meat Shield II</t>
        </is>
      </c>
      <c r="H75" s="26" t="inlineStr">
        <is>
          <t>Minion Mastery</t>
        </is>
      </c>
      <c r="I75" s="26" t="inlineStr">
        <is>
          <t>Aura bots</t>
        </is>
      </c>
      <c r="J75" s="26" t="inlineStr">
        <is>
          <t>Setup 100% defensivo: só precisam manter a aura viva.</t>
        </is>
      </c>
    </row>
    <row r="76" ht="19" customHeight="1">
      <c r="A76" s="26" t="inlineStr">
        <is>
          <t>Arbiter / Min-max</t>
        </is>
      </c>
      <c r="B76" s="27" t="inlineStr">
        <is>
          <t>Voltaic Mark</t>
        </is>
      </c>
      <c r="C76" s="26" t="inlineStr">
        <is>
          <t>—</t>
        </is>
      </c>
      <c r="D76" s="26" t="inlineStr">
        <is>
          <t>Cooldown Recovery II</t>
        </is>
      </c>
      <c r="E76" s="26" t="inlineStr">
        <is>
          <t>Prolonged Duration II</t>
        </is>
      </c>
      <c r="F76" s="26" t="inlineStr">
        <is>
          <t>Mark for Death II</t>
        </is>
      </c>
      <c r="G76" s="26" t="inlineStr">
        <is>
          <t>Eternal Mark</t>
        </is>
      </c>
      <c r="H76" s="26" t="inlineStr"/>
      <c r="I76" s="26" t="inlineStr">
        <is>
          <t>Marca</t>
        </is>
      </c>
      <c r="J76" s="26" t="inlineStr">
        <is>
          <t>Igual ao T15.</t>
        </is>
      </c>
    </row>
    <row r="77" ht="19" customHeight="1">
      <c r="A77" s="26" t="inlineStr">
        <is>
          <t>Arbiter / Min-max</t>
        </is>
      </c>
      <c r="B77" s="27" t="inlineStr">
        <is>
          <t>Mace Strike</t>
        </is>
      </c>
      <c r="C77" s="26" t="inlineStr">
        <is>
          <t>—</t>
        </is>
      </c>
      <c r="D77" s="26" t="inlineStr">
        <is>
          <t>Einhar's Beastrite</t>
        </is>
      </c>
      <c r="E77" s="26" t="inlineStr">
        <is>
          <t>Culling Strike II</t>
        </is>
      </c>
      <c r="F77" s="26" t="inlineStr">
        <is>
          <t>Rage III</t>
        </is>
      </c>
      <c r="G77" s="26" t="inlineStr">
        <is>
          <t>Rapid Attacks III</t>
        </is>
      </c>
      <c r="H77" s="26" t="inlineStr">
        <is>
          <t>Magnified Area II</t>
        </is>
      </c>
      <c r="I77" s="26" t="inlineStr">
        <is>
          <t>Rouba modificadores</t>
        </is>
      </c>
      <c r="J77" s="26" t="inlineStr">
        <is>
          <t>Igual ao T15.</t>
        </is>
      </c>
    </row>
    <row r="78" ht="19" customHeight="1">
      <c r="A78" s="26" t="inlineStr">
        <is>
          <t>Arbiter / Min-max</t>
        </is>
      </c>
      <c r="B78" s="27" t="inlineStr">
        <is>
          <t>Discipline</t>
        </is>
      </c>
      <c r="C78" s="26" t="inlineStr">
        <is>
          <t>Effigy</t>
        </is>
      </c>
      <c r="D78" s="26" t="inlineStr">
        <is>
          <t>Upwelling II</t>
        </is>
      </c>
      <c r="E78" s="26" t="inlineStr"/>
      <c r="F78" s="26" t="inlineStr"/>
      <c r="G78" s="26" t="inlineStr"/>
      <c r="H78" s="26" t="inlineStr"/>
      <c r="I78" s="26" t="inlineStr">
        <is>
          <t>Aura de ES</t>
        </is>
      </c>
      <c r="J78" s="26" t="inlineStr">
        <is>
          <t>Vem do Effigy.</t>
        </is>
      </c>
    </row>
    <row r="79" ht="19" customHeight="1">
      <c r="A79" s="26" t="inlineStr">
        <is>
          <t>Arbiter / Min-max</t>
        </is>
      </c>
      <c r="B79" s="27" t="inlineStr">
        <is>
          <t>Sanguine Revelry</t>
        </is>
      </c>
      <c r="C79" s="26" t="inlineStr">
        <is>
          <t>—</t>
        </is>
      </c>
      <c r="D79" s="26" t="inlineStr"/>
      <c r="E79" s="26" t="inlineStr"/>
      <c r="F79" s="26" t="inlineStr"/>
      <c r="G79" s="26" t="inlineStr"/>
      <c r="H79" s="26" t="inlineStr"/>
      <c r="I79" s="26" t="inlineStr">
        <is>
          <t>Rage + vida</t>
        </is>
      </c>
      <c r="J79" s="26" t="inlineStr">
        <is>
          <t>Vem do Spiteful Floret.</t>
        </is>
      </c>
    </row>
    <row r="80" ht="19" customHeight="1">
      <c r="A80" s="26" t="inlineStr">
        <is>
          <t>Arbiter / Min-max</t>
        </is>
      </c>
      <c r="B80" s="27" t="inlineStr">
        <is>
          <t>Refutation</t>
        </is>
      </c>
      <c r="C80" s="26" t="inlineStr">
        <is>
          <t>—</t>
        </is>
      </c>
      <c r="D80" s="26" t="inlineStr">
        <is>
          <t>Prolonged Duration II</t>
        </is>
      </c>
      <c r="E80" s="26" t="inlineStr">
        <is>
          <t>Cooldown Recovery II</t>
        </is>
      </c>
      <c r="F80" s="26" t="inlineStr">
        <is>
          <t>Efficiency II</t>
        </is>
      </c>
      <c r="G80" s="26" t="inlineStr">
        <is>
          <t>Rapid Casting II</t>
        </is>
      </c>
      <c r="H80" s="26" t="inlineStr">
        <is>
          <t>Mobility</t>
        </is>
      </c>
      <c r="I80" s="26" t="inlineStr">
        <is>
          <t>Defesa ativa</t>
        </is>
      </c>
      <c r="J80" s="26" t="inlineStr">
        <is>
          <t>Igual ao T15.</t>
        </is>
      </c>
    </row>
    <row r="82" ht="22" customHeight="1">
      <c r="A82" s="13" t="inlineStr">
        <is>
          <t>O QUE CADA SUPPORT FAZ E POR QUE USAR</t>
        </is>
      </c>
      <c r="B82" s="14" t="n"/>
      <c r="C82" s="14" t="n"/>
      <c r="D82" s="14" t="n"/>
      <c r="E82" s="14" t="n"/>
      <c r="F82" s="14" t="n"/>
      <c r="G82" s="14" t="n"/>
      <c r="H82" s="14" t="n"/>
      <c r="I82" s="14" t="n"/>
      <c r="J82" s="14" t="n"/>
    </row>
    <row r="83" ht="19" customHeight="1">
      <c r="B83" s="6" t="inlineStr">
        <is>
          <t>Amanamu's Tithe</t>
        </is>
      </c>
      <c r="C83" s="31" t="inlineStr">
        <is>
          <t>Quando um minion deste skill morre, 50% de chance de VOCÊ ganhar um modificador Abyssal por 20 s (até 3). Esqueletos morrem o tempo todo → buffs grátis.</t>
        </is>
      </c>
    </row>
    <row r="84" ht="19" customHeight="1">
      <c r="B84" s="6" t="inlineStr">
        <is>
          <t>Arctic Howl</t>
        </is>
      </c>
      <c r="C84" s="31" t="inlineStr">
        <is>
          <t>Skill de Werewolf socketada no Spirit Vessel: congela e dá dano de frio aos aliados.</t>
        </is>
      </c>
    </row>
    <row r="85" ht="19" customHeight="1">
      <c r="B85" s="6" t="inlineStr">
        <is>
          <t>Armour Break I</t>
        </is>
      </c>
      <c r="C85" s="31" t="inlineStr">
        <is>
          <t>Quebra de Armour inicial.</t>
        </is>
      </c>
    </row>
    <row r="86" ht="19" customHeight="1">
      <c r="B86" s="6" t="inlineStr">
        <is>
          <t>Armour Break III</t>
        </is>
      </c>
      <c r="C86" s="31" t="inlineStr">
        <is>
          <t>Os golpes quebram Armour dos inimigos. Inimigo sem Armour recebe o dano físico inteiro do macaco.</t>
        </is>
      </c>
    </row>
    <row r="87" ht="19" customHeight="1">
      <c r="B87" s="6" t="inlineStr">
        <is>
          <t>Bleed I</t>
        </is>
      </c>
      <c r="C87" s="31" t="inlineStr">
        <is>
          <t>Chance de Bleed no Whirling Slash (leveling).</t>
        </is>
      </c>
    </row>
    <row r="88" ht="19" customHeight="1">
      <c r="B88" s="6" t="inlineStr">
        <is>
          <t>Brutality I</t>
        </is>
      </c>
      <c r="C88" s="31" t="inlineStr">
        <is>
          <t>Mais dano físico (leveling).</t>
        </is>
      </c>
    </row>
    <row r="89" ht="19" customHeight="1">
      <c r="B89" s="6" t="inlineStr">
        <is>
          <t>Brutus' Brain</t>
        </is>
      </c>
      <c r="C89" s="31" t="inlineStr">
        <is>
          <t>O minion não recebe nem causa dano. No Pain Offering: o espinho não pode ser destruído, então o buff nunca cai no meio do boss.</t>
        </is>
      </c>
    </row>
    <row r="90" ht="19" customHeight="1">
      <c r="B90" s="6" t="inlineStr">
        <is>
          <t>Catha's Brilliance</t>
        </is>
      </c>
      <c r="C90" s="31" t="inlineStr">
        <is>
          <t>Inimigos perto do urso ficam Blind (erram mais) e pegam Ignite baseado na vida do urso.</t>
        </is>
      </c>
    </row>
    <row r="91" ht="19" customHeight="1">
      <c r="B91" s="6" t="inlineStr">
        <is>
          <t>Clarity I</t>
        </is>
      </c>
      <c r="C91" s="31" t="inlineStr">
        <is>
          <t>Regeneração de mana.</t>
        </is>
      </c>
    </row>
    <row r="92" ht="19" customHeight="1">
      <c r="B92" s="6" t="inlineStr">
        <is>
          <t>Cold Attunement</t>
        </is>
      </c>
      <c r="C92" s="31" t="inlineStr">
        <is>
          <t>Herald of Ice com mais dano de frio (leveling).</t>
        </is>
      </c>
    </row>
    <row r="93" ht="19" customHeight="1">
      <c r="B93" s="6" t="inlineStr">
        <is>
          <t>Concentrated Area</t>
        </is>
      </c>
      <c r="C93" s="31" t="inlineStr">
        <is>
          <t>Área menor, dano maior (leveling).</t>
        </is>
      </c>
    </row>
    <row r="94" ht="19" customHeight="1">
      <c r="B94" s="6" t="inlineStr">
        <is>
          <t>Cooldown Recovery II</t>
        </is>
      </c>
      <c r="C94" s="31" t="inlineStr">
        <is>
          <t>Recarga mais rápida (mark/Refutation disponível mais vezes).</t>
        </is>
      </c>
    </row>
    <row r="95" ht="19" customHeight="1">
      <c r="B95" s="6" t="inlineStr">
        <is>
          <t>Culling Strike II</t>
        </is>
      </c>
      <c r="C95" s="31" t="inlineStr">
        <is>
          <t>Executa inimigos com vida baixa — casa com o Einhar's Beastrite, que só finaliza.</t>
        </is>
      </c>
    </row>
    <row r="96" ht="19" customHeight="1">
      <c r="B96" s="6" t="inlineStr">
        <is>
          <t>Danse Macabre</t>
        </is>
      </c>
      <c r="C96" s="31" t="inlineStr">
        <is>
          <t>Pain Offering espeta 2 esqueletos: +30% efeito do buff e 30% more dano. Precisa ter 2 esqueletos disponíveis.</t>
        </is>
      </c>
    </row>
    <row r="97" ht="19" customHeight="1">
      <c r="B97" s="6" t="inlineStr">
        <is>
          <t>Devour</t>
        </is>
      </c>
      <c r="C97" s="31" t="inlineStr">
        <is>
          <t>Skill de Wyvern socketada no Spirit Vessel (versão endgame).</t>
        </is>
      </c>
    </row>
    <row r="98" ht="19" customHeight="1">
      <c r="B98" s="6" t="inlineStr">
        <is>
          <t>Dialla's Desire</t>
        </is>
      </c>
      <c r="C98" s="31" t="inlineStr">
        <is>
          <t>+1 nível e +5% qualidade na gem, e menos custo/reserva. Upgrade genérico de luxo.</t>
        </is>
      </c>
    </row>
    <row r="99" ht="19" customHeight="1">
      <c r="B99" s="6" t="inlineStr">
        <is>
          <t>Efficiency II</t>
        </is>
      </c>
      <c r="C99" s="31" t="inlineStr">
        <is>
          <t>Menos custo de mana.</t>
        </is>
      </c>
    </row>
    <row r="100" ht="34" customHeight="1">
      <c r="B100" s="6" t="inlineStr">
        <is>
          <t>Einhar's Beastrite</t>
        </is>
      </c>
      <c r="C100" s="31" t="inlineStr">
        <is>
          <t>O Mace Strike só consegue matar inimigos com vida baixa, mas cada raro que ele finaliza te dá 2 modificadores dele por 300 s (ex.: Haste, Extra Damage). Não é dano: é roubar buffs.</t>
        </is>
      </c>
    </row>
    <row r="101" ht="19" customHeight="1">
      <c r="B101" s="6" t="inlineStr">
        <is>
          <t>Elemental Armament III</t>
        </is>
      </c>
      <c r="C101" s="31" t="inlineStr">
        <is>
          <t>Twister: dano elemental extra (leveling).</t>
        </is>
      </c>
    </row>
    <row r="102" ht="19" customHeight="1">
      <c r="B102" s="6" t="inlineStr">
        <is>
          <t>Elemental Army</t>
        </is>
      </c>
      <c r="C102" s="31" t="inlineStr">
        <is>
          <t>+30% resistências elementais para os minions. Aura bots morrem menos para dano elemental no endgame.</t>
        </is>
      </c>
    </row>
    <row r="103" ht="19" customHeight="1">
      <c r="B103" s="6" t="inlineStr">
        <is>
          <t>Eternal Mark</t>
        </is>
      </c>
      <c r="C103" s="31" t="inlineStr">
        <is>
          <t>A mark não é consumida na primeira ativação: fica no boss por mais tempo.</t>
        </is>
      </c>
    </row>
    <row r="104" ht="19" customHeight="1">
      <c r="B104" s="6" t="inlineStr">
        <is>
          <t>Feeding Frenzy I</t>
        </is>
      </c>
      <c r="C104" s="31" t="inlineStr">
        <is>
          <t>Versão menor do Feeding Frenzy (menos dano, menos risco). Usado no Wolf Pack.</t>
        </is>
      </c>
    </row>
    <row r="105" ht="19" customHeight="1">
      <c r="B105" s="6" t="inlineStr">
        <is>
          <t>Feeding Frenzy II</t>
        </is>
      </c>
      <c r="C105" s="31" t="inlineStr">
        <is>
          <t>Minions causam 30% more dano e recebem 15% more dano. Só no companion de dano; nos de aura, não.</t>
        </is>
      </c>
    </row>
    <row r="106" ht="19" customHeight="1">
      <c r="B106" s="6" t="inlineStr">
        <is>
          <t>Fire Attunement</t>
        </is>
      </c>
      <c r="C106" s="31" t="inlineStr">
        <is>
          <t>Mais dano de fogo (leveling minion).</t>
        </is>
      </c>
    </row>
    <row r="107" ht="19" customHeight="1">
      <c r="B107" s="6" t="inlineStr">
        <is>
          <t>Fortress I</t>
        </is>
      </c>
      <c r="C107" s="31" t="inlineStr">
        <is>
          <t>Flame Wall mais resistente (leveling minion).</t>
        </is>
      </c>
    </row>
    <row r="108" ht="19" customHeight="1">
      <c r="B108" s="6" t="inlineStr">
        <is>
          <t>Furious Slam</t>
        </is>
      </c>
      <c r="C108" s="31" t="inlineStr">
        <is>
          <t>Skill de Bear socketada no Spirit Vessel: o Vessel vira urso e dá slams. Cada skill diferente socketada = +20% more dano do Vessel.</t>
        </is>
      </c>
    </row>
    <row r="109" ht="19" customHeight="1">
      <c r="B109" s="6" t="inlineStr">
        <is>
          <t>Heft</t>
        </is>
      </c>
      <c r="C109" s="31" t="inlineStr">
        <is>
          <t>30% more dano físico MÁXIMO dos hits. O macaco bate físico e com a Chober Chaber o dano por golpe é enorme — Heft multiplica justamente o topo do dano.</t>
        </is>
      </c>
    </row>
    <row r="110" ht="19" customHeight="1">
      <c r="B110" s="6" t="inlineStr">
        <is>
          <t>Heightened Curse</t>
        </is>
      </c>
      <c r="C110" s="31" t="inlineStr">
        <is>
          <t>+25% magnitude da curse (Despair/Vulnerability tiram mais resistência/Armour).</t>
        </is>
      </c>
    </row>
    <row r="111" ht="19" customHeight="1">
      <c r="B111" s="6" t="inlineStr">
        <is>
          <t>Her Declaration</t>
        </is>
      </c>
      <c r="C111" s="31" t="inlineStr">
        <is>
          <t>Inimigos que entram na sua Presence ficam Intimidated (recebem mais dano). Custa 30 Spirit extra.</t>
        </is>
      </c>
    </row>
    <row r="112" ht="19" customHeight="1">
      <c r="B112" s="6" t="inlineStr">
        <is>
          <t>Hulking Minions</t>
        </is>
      </c>
      <c r="C112" s="31" t="inlineStr">
        <is>
          <t>Minion Gigantic: maior, mais vida e dano, mas custa bem mais Spirit.</t>
        </is>
      </c>
    </row>
    <row r="113" ht="19" customHeight="1">
      <c r="B113" s="6" t="inlineStr">
        <is>
          <t>Infernal Legion I</t>
        </is>
      </c>
      <c r="C113" s="31" t="inlineStr">
        <is>
          <t>Minion e inimigos próximos pegam Ignite pela vida do minion (o minion toma dano de fogo). Dano de área extra.</t>
        </is>
      </c>
    </row>
    <row r="114" ht="19" customHeight="1">
      <c r="B114" s="6" t="inlineStr">
        <is>
          <t>Infernal Legion II</t>
        </is>
      </c>
      <c r="C114" s="31" t="inlineStr">
        <is>
          <t>Versão mais forte do Infernal Legion.</t>
        </is>
      </c>
    </row>
    <row r="115" ht="19" customHeight="1">
      <c r="B115" s="6" t="inlineStr">
        <is>
          <t>Last Gasp</t>
        </is>
      </c>
      <c r="C115" s="31" t="inlineStr">
        <is>
          <t>O minion continua lutando 4 s depois de morrer. Mantém a aura do companion ativa por mais tempo.</t>
        </is>
      </c>
    </row>
    <row r="116" ht="19" customHeight="1">
      <c r="B116" s="6" t="inlineStr">
        <is>
          <t>Life Leech III</t>
        </is>
      </c>
      <c r="C116" s="31" t="inlineStr">
        <is>
          <t>Leech de 16% do dano físico como vida (no companion).</t>
        </is>
      </c>
    </row>
    <row r="117" ht="19" customHeight="1">
      <c r="B117" s="6" t="inlineStr">
        <is>
          <t>Living Lightning II</t>
        </is>
      </c>
      <c r="C117" s="31" t="inlineStr">
        <is>
          <t>Skill socketada no Spirit Vessel.</t>
        </is>
      </c>
    </row>
    <row r="118" ht="19" customHeight="1">
      <c r="B118" s="6" t="inlineStr">
        <is>
          <t>Loyalty</t>
        </is>
      </c>
      <c r="C118" s="31" t="inlineStr">
        <is>
          <t>10% do dano que VOCÊ levaria vai para o companion (que perde 30% da vida). Nos companions de aura: eles viram escudo seu.</t>
        </is>
      </c>
    </row>
    <row r="119" ht="19" customHeight="1">
      <c r="B119" s="6" t="inlineStr">
        <is>
          <t>Magnified Area I</t>
        </is>
      </c>
      <c r="C119" s="31" t="inlineStr">
        <is>
          <t>+área nos golpes do urso. Barato e útil para limpar packs no início.</t>
        </is>
      </c>
    </row>
    <row r="120" ht="19" customHeight="1">
      <c r="B120" s="6" t="inlineStr">
        <is>
          <t>Magnified Area II</t>
        </is>
      </c>
      <c r="C120" s="31" t="inlineStr">
        <is>
          <t>Mais área (usado no Mace Strike e no urso).</t>
        </is>
      </c>
    </row>
    <row r="121" ht="19" customHeight="1">
      <c r="B121" s="6" t="inlineStr">
        <is>
          <t>Mark for Death</t>
        </is>
      </c>
      <c r="C121" s="31" t="inlineStr">
        <is>
          <t>Hits no alvo marcado quebram Armour (10% do dano físico). Marca o boss e o macaco bate em alvo sem Armour.</t>
        </is>
      </c>
    </row>
    <row r="122" ht="19" customHeight="1">
      <c r="B122" s="6" t="inlineStr">
        <is>
          <t>Mark for Death II</t>
        </is>
      </c>
      <c r="C122" s="31" t="inlineStr">
        <is>
          <t>Versão mais forte do Mark for Death.</t>
        </is>
      </c>
    </row>
    <row r="123" ht="19" customHeight="1">
      <c r="B123" s="6" t="inlineStr">
        <is>
          <t>Meat Shield I</t>
        </is>
      </c>
      <c r="C123" s="31" t="inlineStr">
        <is>
          <t>Minion recebe menos dano e causa menos. Usado em quem só precisa sobreviver (esqueleto combustível, aura bot).</t>
        </is>
      </c>
    </row>
    <row r="124" ht="19" customHeight="1">
      <c r="B124" s="6" t="inlineStr">
        <is>
          <t>Meat Shield II</t>
        </is>
      </c>
      <c r="C124" s="31" t="inlineStr">
        <is>
          <t>Minion recebe 40% less dano e causa 40% less. Perfeito para companion de aura: você quer a aura viva, não o dano dele.</t>
        </is>
      </c>
    </row>
    <row r="125" ht="19" customHeight="1">
      <c r="B125" s="6" t="inlineStr">
        <is>
          <t>Minion Instability</t>
        </is>
      </c>
      <c r="C125" s="31" t="inlineStr">
        <is>
          <t>Minion explode com 15% da vida máxima ao ficar com vida baixa. Wolf Pack vira bombas.</t>
        </is>
      </c>
    </row>
    <row r="126" ht="19" customHeight="1">
      <c r="B126" s="6" t="inlineStr">
        <is>
          <t>Minion Mastery</t>
        </is>
      </c>
      <c r="C126" s="31" t="inlineStr">
        <is>
          <t>+1 nível na gem do minion. Mais vida e dano sem custo extra.</t>
        </is>
      </c>
    </row>
    <row r="127" ht="19" customHeight="1">
      <c r="B127" s="6" t="inlineStr">
        <is>
          <t>Minion Splash II</t>
        </is>
      </c>
      <c r="C127" s="31" t="inlineStr">
        <is>
          <t>Minion ganha Melee Splash e +20% área: o golpe do urso/macaco acerta o pack inteiro.</t>
        </is>
      </c>
    </row>
    <row r="128" ht="19" customHeight="1">
      <c r="B128" s="6" t="inlineStr">
        <is>
          <t>Mobility</t>
        </is>
      </c>
      <c r="C128" s="31" t="inlineStr">
        <is>
          <t>Pode se mover enquanto usa a skill.</t>
        </is>
      </c>
    </row>
    <row r="129" ht="19" customHeight="1">
      <c r="B129" s="6" t="inlineStr">
        <is>
          <t>Multishot I</t>
        </is>
      </c>
      <c r="C129" s="31" t="inlineStr">
        <is>
          <t>Mais projéteis (leveling minion).</t>
        </is>
      </c>
    </row>
    <row r="130" ht="19" customHeight="1">
      <c r="B130" s="6" t="inlineStr">
        <is>
          <t>Multishot II</t>
        </is>
      </c>
      <c r="C130" s="31" t="inlineStr">
        <is>
          <t>Mais projéteis (leveling minion).</t>
        </is>
      </c>
    </row>
    <row r="131" ht="34" customHeight="1">
      <c r="B131" s="6" t="inlineStr">
        <is>
          <t>Muster</t>
        </is>
      </c>
      <c r="C131" s="31" t="inlineStr">
        <is>
          <t>7% more dano para cada TIPO diferente de minion que revive (urso, macaco, cada esqueleto, wolf…). É por isso que a build tem vários tipos de esqueleto: cada tipo aumenta o dano do macaco.</t>
        </is>
      </c>
    </row>
    <row r="132" ht="19" customHeight="1">
      <c r="B132" s="6" t="inlineStr">
        <is>
          <t>Oil Barrage</t>
        </is>
      </c>
      <c r="C132" s="31" t="inlineStr">
        <is>
          <t>Skill de Wyvern socketada no Spirit Vessel.</t>
        </is>
      </c>
    </row>
    <row r="133" ht="19" customHeight="1">
      <c r="B133" s="6" t="inlineStr">
        <is>
          <t>Profanity I</t>
        </is>
      </c>
      <c r="C133" s="31" t="inlineStr">
        <is>
          <t>Contagion com mais chaos (leveling minion).</t>
        </is>
      </c>
    </row>
    <row r="134" ht="19" customHeight="1">
      <c r="B134" s="6" t="inlineStr">
        <is>
          <t>Projectile Acceleration I</t>
        </is>
      </c>
      <c r="C134" s="31" t="inlineStr">
        <is>
          <t>Twister mais rápido (leveling).</t>
        </is>
      </c>
    </row>
    <row r="135" ht="19" customHeight="1">
      <c r="B135" s="6" t="inlineStr">
        <is>
          <t>Prolonged Duration I</t>
        </is>
      </c>
      <c r="C135" s="31" t="inlineStr">
        <is>
          <t>Mais duração no início.</t>
        </is>
      </c>
    </row>
    <row r="136" ht="19" customHeight="1">
      <c r="B136" s="6" t="inlineStr">
        <is>
          <t>Prolonged Duration II</t>
        </is>
      </c>
      <c r="C136" s="31" t="inlineStr">
        <is>
          <t>35% more duração: o buff do Pain Offering / a curse / a mark duram mais.</t>
        </is>
      </c>
    </row>
    <row r="137" ht="19" customHeight="1">
      <c r="B137" s="6" t="inlineStr">
        <is>
          <t>Rage I</t>
        </is>
      </c>
      <c r="C137" s="31" t="inlineStr">
        <is>
          <t>Versão inicial do Rage.</t>
        </is>
      </c>
    </row>
    <row r="138" ht="19" customHeight="1">
      <c r="B138" s="6" t="inlineStr">
        <is>
          <t>Rage II</t>
        </is>
      </c>
      <c r="C138" s="31" t="inlineStr">
        <is>
          <t>Versão de campanha do Rage: attack speed enquanto acumula Rage.</t>
        </is>
      </c>
    </row>
    <row r="139" ht="19" customHeight="1">
      <c r="B139" s="6" t="inlineStr">
        <is>
          <t>Rage III</t>
        </is>
      </c>
      <c r="C139" s="31" t="inlineStr">
        <is>
          <t>O minion ganha Rage ao bater e ataca bem mais rápido enquanto não está no máximo de Rage.</t>
        </is>
      </c>
    </row>
    <row r="140" ht="19" customHeight="1">
      <c r="B140" s="6" t="inlineStr">
        <is>
          <t>Rapid Attacks I</t>
        </is>
      </c>
      <c r="C140" s="31" t="inlineStr">
        <is>
          <t>Attack speed para o companion no início.</t>
        </is>
      </c>
    </row>
    <row r="141" ht="19" customHeight="1">
      <c r="B141" s="6" t="inlineStr">
        <is>
          <t>Rapid Attacks II</t>
        </is>
      </c>
      <c r="C141" s="31" t="inlineStr">
        <is>
          <t>+25% attack speed. Mais golpes = mais dano da Catha's Balance (60% da sua arma por golpe).</t>
        </is>
      </c>
    </row>
    <row r="142" ht="19" customHeight="1">
      <c r="B142" s="6" t="inlineStr">
        <is>
          <t>Rapid Attacks III</t>
        </is>
      </c>
      <c r="C142" s="31" t="inlineStr">
        <is>
          <t>Versão mais forte do Rapid Attacks.</t>
        </is>
      </c>
    </row>
    <row r="143" ht="19" customHeight="1">
      <c r="B143" s="6" t="inlineStr">
        <is>
          <t>Rapid Casting I</t>
        </is>
      </c>
      <c r="C143" s="31" t="inlineStr">
        <is>
          <t>Conjura mais rápido (curse sai antes).</t>
        </is>
      </c>
    </row>
    <row r="144" ht="19" customHeight="1">
      <c r="B144" s="6" t="inlineStr">
        <is>
          <t>Rapid Casting II</t>
        </is>
      </c>
      <c r="C144" s="31" t="inlineStr">
        <is>
          <t>Conjura mais rápido.</t>
        </is>
      </c>
    </row>
    <row r="145" ht="19" customHeight="1">
      <c r="B145" s="6" t="inlineStr">
        <is>
          <t>Retreat III</t>
        </is>
      </c>
      <c r="C145" s="31" t="inlineStr">
        <is>
          <t>Twister: dano extra enquanto você se afasta (leveling).</t>
        </is>
      </c>
    </row>
    <row r="146" ht="19" customHeight="1">
      <c r="B146" s="6" t="inlineStr">
        <is>
          <t>Romira's Requital</t>
        </is>
      </c>
      <c r="C146" s="31" t="inlineStr">
        <is>
          <t>10% do dano dos hits vai para o urso e você RECUPERA 200% disso como vida. Defesa enorme de graça.</t>
        </is>
      </c>
    </row>
    <row r="147" ht="19" customHeight="1">
      <c r="B147" s="6" t="inlineStr">
        <is>
          <t>Sacrificial Lamb I</t>
        </is>
      </c>
      <c r="C147" s="31" t="inlineStr">
        <is>
          <t>Suas skills que miram minions (Pain Offering) escolhem ESTE esqueleto primeiro. Garante que o espinho nunca pegue o macaco ou o urso.</t>
        </is>
      </c>
    </row>
    <row r="148" ht="19" customHeight="1">
      <c r="B148" s="6" t="inlineStr">
        <is>
          <t>Sacrificial Lamb II</t>
        </is>
      </c>
      <c r="C148" s="31" t="inlineStr">
        <is>
          <t>Mesma função com alcance de 6 m e o minion sempre conta como detonável.</t>
        </is>
      </c>
    </row>
    <row r="149" ht="19" customHeight="1">
      <c r="B149" s="6" t="inlineStr">
        <is>
          <t>Sacrificial Offering</t>
        </is>
      </c>
      <c r="C149" s="31" t="inlineStr">
        <is>
          <t>O Pain Offering sacrifica 15% da sua vida, mas o buff fica 30% mais forte e causa 30% more dano.</t>
        </is>
      </c>
    </row>
    <row r="150" ht="19" customHeight="1">
      <c r="B150" s="6" t="inlineStr">
        <is>
          <t>Salvo</t>
        </is>
      </c>
      <c r="C150" s="31" t="inlineStr">
        <is>
          <t>Skill socketada no Spirit Vessel.</t>
        </is>
      </c>
    </row>
    <row r="151" ht="19" customHeight="1">
      <c r="B151" s="6" t="inlineStr">
        <is>
          <t>Seraph's Heart</t>
        </is>
      </c>
      <c r="C151" s="31" t="inlineStr">
        <is>
          <t>20% de chance de o inimigo calcular o hit como se suas resistências fossem 90%. Defesa de luxo (45 Spirit extra).</t>
        </is>
      </c>
    </row>
    <row r="152" ht="19" customHeight="1">
      <c r="B152" s="6" t="inlineStr">
        <is>
          <t>Tecrod's Revenge</t>
        </is>
      </c>
      <c r="C152" s="31" t="inlineStr">
        <is>
          <t>O minion luta 20 s depois de morrer, ganha Soul Eater e +40% velocidade. No Skeletal Cleric: ele continua curando e servindo de alvo do Pain Offering.</t>
        </is>
      </c>
    </row>
    <row r="153" ht="19" customHeight="1">
      <c r="B153" s="6" t="inlineStr">
        <is>
          <t>Upwelling I</t>
        </is>
      </c>
      <c r="C153" s="31" t="inlineStr">
        <is>
          <t>Melhora a regeneração ligada à aura.</t>
        </is>
      </c>
    </row>
    <row r="154" ht="19" customHeight="1">
      <c r="B154" s="6" t="inlineStr">
        <is>
          <t>Upwelling II</t>
        </is>
      </c>
      <c r="C154" s="31" t="inlineStr">
        <is>
          <t>Melhora a regeneração/recarga ligada à aura.</t>
        </is>
      </c>
    </row>
    <row r="155" ht="19" customHeight="1">
      <c r="B155" s="6" t="inlineStr">
        <is>
          <t>Uul-Netol's Embrace</t>
        </is>
      </c>
      <c r="C155" s="31" t="inlineStr">
        <is>
          <t>40% do dano físico vira EXTRA como chaos, e o chaos quebra Armour. Multiplica o macaco com Wither.</t>
        </is>
      </c>
    </row>
    <row r="156" ht="19" customHeight="1">
      <c r="B156" s="6" t="inlineStr">
        <is>
          <t>Withering Touch</t>
        </is>
      </c>
      <c r="C156" s="31" t="inlineStr">
        <is>
          <t>Chance de aplicar Wither (inimigo recebe mais dano de chaos). Combina com Evergrasping Ring e Uul-Netol's Embrace, que dão dano de chaos.</t>
        </is>
      </c>
    </row>
  </sheetData>
  <autoFilter ref="A3:J80"/>
  <mergeCells count="77">
    <mergeCell ref="C101:J101"/>
    <mergeCell ref="C151:J151"/>
    <mergeCell ref="C126:J126"/>
    <mergeCell ref="C141:J141"/>
    <mergeCell ref="C113:J113"/>
    <mergeCell ref="C103:J103"/>
    <mergeCell ref="C85:J85"/>
    <mergeCell ref="C143:J143"/>
    <mergeCell ref="C112:J112"/>
    <mergeCell ref="C99:J99"/>
    <mergeCell ref="C118:J118"/>
    <mergeCell ref="C133:J133"/>
    <mergeCell ref="C127:J127"/>
    <mergeCell ref="C114:J114"/>
    <mergeCell ref="C130:J130"/>
    <mergeCell ref="C150:J150"/>
    <mergeCell ref="C144:J144"/>
    <mergeCell ref="C153:J153"/>
    <mergeCell ref="C106:J106"/>
    <mergeCell ref="C125:J125"/>
    <mergeCell ref="C131:J131"/>
    <mergeCell ref="C145:J145"/>
    <mergeCell ref="C87:J87"/>
    <mergeCell ref="C154:J154"/>
    <mergeCell ref="C107:J107"/>
    <mergeCell ref="C89:J89"/>
    <mergeCell ref="C104:J104"/>
    <mergeCell ref="C116:J116"/>
    <mergeCell ref="C156:J156"/>
    <mergeCell ref="C88:J88"/>
    <mergeCell ref="C121:J121"/>
    <mergeCell ref="C117:J117"/>
    <mergeCell ref="A82:J82"/>
    <mergeCell ref="C115:J115"/>
    <mergeCell ref="C135:J135"/>
    <mergeCell ref="C149:J149"/>
    <mergeCell ref="C122:J122"/>
    <mergeCell ref="A2:J2"/>
    <mergeCell ref="C96:J96"/>
    <mergeCell ref="C136:J136"/>
    <mergeCell ref="C92:J92"/>
    <mergeCell ref="C98:J98"/>
    <mergeCell ref="C147:J147"/>
    <mergeCell ref="C137:J137"/>
    <mergeCell ref="C134:J134"/>
    <mergeCell ref="C146:J146"/>
    <mergeCell ref="C93:J93"/>
    <mergeCell ref="C124:J124"/>
    <mergeCell ref="C90:J90"/>
    <mergeCell ref="C105:J105"/>
    <mergeCell ref="C139:J139"/>
    <mergeCell ref="C148:J148"/>
    <mergeCell ref="C123:J123"/>
    <mergeCell ref="C138:J138"/>
    <mergeCell ref="C120:J120"/>
    <mergeCell ref="C132:J132"/>
    <mergeCell ref="C110:J110"/>
    <mergeCell ref="C119:J119"/>
    <mergeCell ref="C102:J102"/>
    <mergeCell ref="C111:J111"/>
    <mergeCell ref="C86:J86"/>
    <mergeCell ref="C83:J83"/>
    <mergeCell ref="C108:J108"/>
    <mergeCell ref="C97:J97"/>
    <mergeCell ref="C128:J128"/>
    <mergeCell ref="C100:J100"/>
    <mergeCell ref="C94:J94"/>
    <mergeCell ref="C109:J109"/>
    <mergeCell ref="C152:J152"/>
    <mergeCell ref="C84:J84"/>
    <mergeCell ref="C142:J142"/>
    <mergeCell ref="C129:J129"/>
    <mergeCell ref="A1:J1"/>
    <mergeCell ref="C95:J95"/>
    <mergeCell ref="C91:J91"/>
    <mergeCell ref="C140:J140"/>
    <mergeCell ref="C155:J155"/>
  </mergeCells>
  <pageMargins left="0.75" right="0.75" top="1" bottom="1" header="0.5" footer="0.5"/>
</worksheet>
</file>

<file path=xl/worksheets/sheet6.xml><?xml version="1.0" encoding="utf-8"?>
<worksheet xmlns="http://schemas.openxmlformats.org/spreadsheetml/2006/main">
  <sheetPr>
    <tabColor rgb="00C98E2B"/>
    <outlinePr summaryBelow="1" summaryRight="1"/>
    <pageSetUpPr/>
  </sheetPr>
  <dimension ref="A1:F27"/>
  <sheetViews>
    <sheetView showGridLines="0" zoomScale="100" workbookViewId="0">
      <pane xSplit="1" ySplit="3" topLeftCell="B4" activePane="bottomRight" state="frozen"/>
      <selection pane="topRight"/>
      <selection pane="bottomLeft"/>
      <selection pane="bottomRight" activeCell="A1" sqref="A1"/>
    </sheetView>
  </sheetViews>
  <sheetFormatPr baseColWidth="8" defaultRowHeight="15"/>
  <cols>
    <col width="14" customWidth="1" min="1" max="1"/>
    <col width="36" customWidth="1" min="2" max="2"/>
    <col width="36" customWidth="1" min="3" max="3"/>
    <col width="36" customWidth="1" min="4" max="4"/>
    <col width="30" customWidth="1" min="5" max="5"/>
    <col width="36" customWidth="1" min="6" max="6"/>
  </cols>
  <sheetData>
    <row r="1" ht="34" customHeight="1">
      <c r="A1" s="1" t="inlineStr">
        <is>
          <t>GEAR — do barato ao completo</t>
        </is>
      </c>
      <c r="B1" s="2" t="n"/>
      <c r="C1" s="2" t="n"/>
      <c r="D1" s="2" t="n"/>
      <c r="E1" s="2" t="n"/>
      <c r="F1" s="2" t="n"/>
    </row>
    <row r="2" ht="30" customHeight="1">
      <c r="A2" s="3" t="inlineStr">
        <is>
          <t>Barato = poucos Exalts no trade · Valor = bom custo-benefício · Completo = build como deve ser. Preços variam: use as faixas.</t>
        </is>
      </c>
      <c r="B2" s="2" t="n"/>
      <c r="C2" s="2" t="n"/>
      <c r="D2" s="2" t="n"/>
      <c r="E2" s="2" t="n"/>
      <c r="F2" s="2" t="n"/>
    </row>
    <row r="3" ht="22" customHeight="1">
      <c r="A3" s="15" t="inlineStr">
        <is>
          <t>Slot</t>
        </is>
      </c>
      <c r="B3" s="15" t="inlineStr">
        <is>
          <t>Barato</t>
        </is>
      </c>
      <c r="C3" s="15" t="inlineStr">
        <is>
          <t>Valor</t>
        </is>
      </c>
      <c r="D3" s="15" t="inlineStr">
        <is>
          <t>Completo</t>
        </is>
      </c>
      <c r="E3" s="15" t="inlineStr">
        <is>
          <t>Prioridade de affix</t>
        </is>
      </c>
      <c r="F3" s="15" t="inlineStr">
        <is>
          <t>Nota</t>
        </is>
      </c>
    </row>
    <row r="4" ht="64" customHeight="1">
      <c r="A4" s="18" t="inlineStr">
        <is>
          <t>Main-hand</t>
        </is>
      </c>
      <c r="B4" s="19" t="inlineStr">
        <is>
          <t>Atos 1–2: spear rare (Twister). Ato 3: Rattling Sceptre (main) + Trenchtimbre. Início do Atlas: Chober Chaber Runeforged (~0,04 div).</t>
        </is>
      </c>
      <c r="C4" s="19" t="inlineStr">
        <is>
          <t>Chober Chaber Runeforged + Treefingers + The Vertex</t>
        </is>
      </c>
      <c r="D4" s="19" t="inlineStr">
        <is>
          <t>Chober Chaber Runeforged + Giant's Blood (Treefingers/keystone) + The Vertex</t>
        </is>
      </c>
      <c r="E4" s="19" t="inlineStr">
        <is>
          <t>Dano por golpe (min–max) &gt; +Strength &gt; qualquer coisa</t>
        </is>
      </c>
      <c r="F4" s="34" t="inlineStr">
        <is>
          <t>Catha's Balance: companions ganham 60% do dano da main-hand. 32% dos zoos com Effigy usam maça de 2 mãos + sceptre.</t>
        </is>
      </c>
    </row>
    <row r="5" ht="49" customHeight="1">
      <c r="A5" s="18" t="inlineStr">
        <is>
          <t>Offhand</t>
        </is>
      </c>
      <c r="B5" s="19" t="inlineStr">
        <is>
          <t>Atos 1–2: qualquer offhand. Ato 3+: Rattling Sceptre (base rare, traz Skeletal Warrior) com +Minion Skills</t>
        </is>
      </c>
      <c r="C5" s="19" t="inlineStr">
        <is>
          <t>Sylvan's Effigy (~0,95 div) com Primate Idol + Rabbit Idol</t>
        </is>
      </c>
      <c r="D5" s="19" t="inlineStr">
        <is>
          <t>Sylvan's Effigy com Primate + Rabbit Idol</t>
        </is>
      </c>
      <c r="E5" s="19" t="inlineStr">
        <is>
          <t>Spirit &gt; +Minion Skills &gt; buffs de companion</t>
        </is>
      </c>
      <c r="F5" s="19" t="inlineStr">
        <is>
          <t>Com ~1 div o Effigy entra logo no início do Atlas.</t>
        </is>
      </c>
    </row>
    <row r="6" ht="49" customHeight="1">
      <c r="A6" s="18" t="inlineStr">
        <is>
          <t>Capacete</t>
        </is>
      </c>
      <c r="B6" s="19" t="inlineStr">
        <is>
          <t>Vida + resists + Evasion</t>
        </is>
      </c>
      <c r="C6" s="19" t="inlineStr">
        <is>
          <t>+1/+2 Minion Skills com Idol of Ralakesh, ou Alpha's Howl (+100 Spirit) se faltar reserva</t>
        </is>
      </c>
      <c r="D6" s="19" t="inlineStr">
        <is>
          <t>+2 Minion Skills com Idol of Ralakesh, ou The Vertex para a Chober Chaber</t>
        </is>
      </c>
      <c r="E6" s="19" t="inlineStr">
        <is>
          <t>Minion Skills; vida; resist; Evasion→Deflection</t>
        </is>
      </c>
      <c r="F6" s="19" t="inlineStr">
        <is>
          <t>Starkonja's Head é defesa barata na campanha.</t>
        </is>
      </c>
    </row>
    <row r="7" ht="34" customHeight="1">
      <c r="A7" s="18" t="inlineStr">
        <is>
          <t>Body Armour</t>
        </is>
      </c>
      <c r="B7" s="19" t="inlineStr">
        <is>
          <t>Evasion + vida + resists</t>
        </is>
      </c>
      <c r="C7" s="19" t="inlineStr">
        <is>
          <t>Forgotten Warden (~0,21 div) com Fox Idol</t>
        </is>
      </c>
      <c r="D7" s="19" t="inlineStr">
        <is>
          <t>Forgotten Warden Runemastered ou Morior Invictus (~6 div)</t>
        </is>
      </c>
      <c r="E7" s="19" t="inlineStr">
        <is>
          <t>Evasion; Deflection; vida; resist</t>
        </is>
      </c>
      <c r="F7" s="19" t="inlineStr">
        <is>
          <t>Forgotten Warden em 80% dos zoos: vida do zoo + Spirit Vessel grátis.</t>
        </is>
      </c>
    </row>
    <row r="8" ht="49" customHeight="1">
      <c r="A8" s="18" t="inlineStr">
        <is>
          <t>Luvas</t>
        </is>
      </c>
      <c r="B8" s="19" t="inlineStr">
        <is>
          <t>Vida/resists/atributos</t>
        </is>
      </c>
      <c r="C8" s="19" t="inlineStr">
        <is>
          <t>Treefingers (Giant's Blood) se usar maça de 2 mãos</t>
        </is>
      </c>
      <c r="D8" s="19" t="inlineStr">
        <is>
          <t>Treefingers até ter Giant's Blood na árvore; depois rare de Evasion/Deflection com vida e resist</t>
        </is>
      </c>
      <c r="E8" s="19" t="inlineStr">
        <is>
          <t>Vida; resist; atributos</t>
        </is>
      </c>
      <c r="F8" s="19" t="inlineStr">
        <is>
          <t>Dano de player aqui é desperdício.</t>
        </is>
      </c>
    </row>
    <row r="9" ht="34" customHeight="1">
      <c r="A9" s="18" t="inlineStr">
        <is>
          <t>Botas</t>
        </is>
      </c>
      <c r="B9" s="19" t="inlineStr">
        <is>
          <t>10–20% MS (campanha), 25% no Ato 4</t>
        </is>
      </c>
      <c r="C9" s="19" t="inlineStr">
        <is>
          <t>30% MS + vida + resist</t>
        </is>
      </c>
      <c r="D9" s="19" t="inlineStr">
        <is>
          <t>30% MS + Evasion/Deflection + resists</t>
        </is>
      </c>
      <c r="E9" s="19" t="inlineStr">
        <is>
          <t>Movement Speed SEMPRE primeiro</t>
        </is>
      </c>
      <c r="F9" s="19" t="inlineStr">
        <is>
          <t>Idol filler aqui já conta para a Idolatry.</t>
        </is>
      </c>
    </row>
    <row r="10" ht="34" customHeight="1">
      <c r="A10" s="18" t="inlineStr">
        <is>
          <t>Amuleto</t>
        </is>
      </c>
      <c r="B10" s="19" t="inlineStr">
        <is>
          <t>Atributos / resists</t>
        </is>
      </c>
      <c r="C10" s="19" t="inlineStr">
        <is>
          <t>+Minion Skills + atributos</t>
        </is>
      </c>
      <c r="D10" s="19" t="inlineStr">
        <is>
          <t>+2/+3 Minion Skills + anoint Warlord Leader</t>
        </is>
      </c>
      <c r="E10" s="19" t="inlineStr">
        <is>
          <t>Minion Skills; atributos; resist</t>
        </is>
      </c>
      <c r="F10" s="19" t="inlineStr"/>
    </row>
    <row r="11" ht="34" customHeight="1">
      <c r="A11" s="18" t="inlineStr">
        <is>
          <t>Anéis</t>
        </is>
      </c>
      <c r="B11" s="19" t="inlineStr">
        <is>
          <t>Vida/resists/atributos</t>
        </is>
      </c>
      <c r="C11" s="19" t="inlineStr">
        <is>
          <t>Ventor's Gamble com resists positivas (+vida +Spirit)</t>
        </is>
      </c>
      <c r="D11" s="19" t="inlineStr">
        <is>
          <t>Kalandra's Touch copiando um rare perfeito</t>
        </is>
      </c>
      <c r="E11" s="19" t="inlineStr">
        <is>
          <t>Cap de resist; atributos</t>
        </is>
      </c>
      <c r="F11" s="19" t="inlineStr">
        <is>
          <t>Anéis são o lugar mais barato para fechar resist.</t>
        </is>
      </c>
    </row>
    <row r="12" ht="34" customHeight="1">
      <c r="A12" s="18" t="inlineStr">
        <is>
          <t>Cinto</t>
        </is>
      </c>
      <c r="B12" s="19" t="inlineStr">
        <is>
          <t>Meginord's Girdle (Strength + frio) ou raro vida/resist</t>
        </is>
      </c>
      <c r="C12" s="19" t="inlineStr">
        <is>
          <t>Rare vida/resist ou Darkness Enthroned (Idols)</t>
        </is>
      </c>
      <c r="D12" s="19" t="inlineStr">
        <is>
          <t>Darkness Enthroned · Mageblood (luxo)</t>
        </is>
      </c>
      <c r="E12" s="19" t="inlineStr">
        <is>
          <t>Vida; resist; atributos</t>
        </is>
      </c>
      <c r="F12" s="34" t="inlineStr">
        <is>
          <t>Darkness Enthroned é CINTO (a planilha antiga dizia capacete).</t>
        </is>
      </c>
    </row>
    <row r="13" ht="34" customHeight="1">
      <c r="A13" s="18" t="inlineStr">
        <is>
          <t>Jewels</t>
        </is>
      </c>
      <c r="B13" s="19" t="inlineStr">
        <is>
          <t>Emerald: Companion dano/vida; Sapphire: Minion +% Elemental Res</t>
        </is>
      </c>
      <c r="C13" s="19" t="inlineStr">
        <is>
          <t>From Nothing (~0,21 div) + Sapphires de minion crit</t>
        </is>
      </c>
      <c r="D13" s="19" t="inlineStr">
        <is>
          <t>From Nothing + Prism of Belief +2/+3 + Megalomaniac/Heart of the Well</t>
        </is>
      </c>
      <c r="E13" s="19" t="inlineStr">
        <is>
          <t>Minion crit/dano &gt; attack speed &gt; resist de minion</t>
        </is>
      </c>
      <c r="F13" s="19" t="inlineStr">
        <is>
          <t>Prism de roll ruim não vale só por ser unique.</t>
        </is>
      </c>
    </row>
    <row r="14" ht="34" customHeight="1">
      <c r="A14" s="18" t="inlineStr">
        <is>
          <t>Charms</t>
        </is>
      </c>
      <c r="B14" s="19" t="inlineStr">
        <is>
          <t>Beira's Anguish · Sanguis Heroum · Arakaali's Gift (todos &lt; 0,02 div)</t>
        </is>
      </c>
      <c r="C14" s="19" t="inlineStr">
        <is>
          <t>Nascent Hope · The Fall of the Axe</t>
        </is>
      </c>
      <c r="D14" s="19" t="inlineStr">
        <is>
          <t>Rite of Passage (luxo)</t>
        </is>
      </c>
      <c r="E14" s="19" t="inlineStr">
        <is>
          <t>Cobrir Burn / Poison / Bleed</t>
        </is>
      </c>
      <c r="F14" s="19" t="inlineStr">
        <is>
          <t>Com muita Evasion/Deflection, DoT é o que mata.</t>
        </is>
      </c>
    </row>
    <row r="15" ht="34" customHeight="1">
      <c r="A15" s="18" t="inlineStr">
        <is>
          <t>Flasks</t>
        </is>
      </c>
      <c r="B15" s="19" t="inlineStr">
        <is>
          <t>Maior cura no menor tempo</t>
        </is>
      </c>
      <c r="C15" s="19" t="inlineStr">
        <is>
          <t>Lavianga's Spirits (mana constante)</t>
        </is>
      </c>
      <c r="D15" s="19" t="inlineStr">
        <is>
          <t>Lavianga's Spirits + life flask de recuperação instantânea</t>
        </is>
      </c>
      <c r="E15" s="19" t="inlineStr">
        <is>
          <t>Cura rápida</t>
        </is>
      </c>
      <c r="F15" s="19" t="inlineStr"/>
    </row>
    <row r="17" ht="22" customHeight="1">
      <c r="A17" s="4" t="inlineStr">
        <is>
          <t>ORDEM DE COMPRA — onde gastar primeiro</t>
        </is>
      </c>
      <c r="B17" s="5" t="n"/>
      <c r="C17" s="5" t="n"/>
      <c r="D17" s="5" t="n"/>
      <c r="E17" s="5" t="n"/>
      <c r="F17" s="5" t="n"/>
    </row>
    <row r="18" ht="22" customHeight="1">
      <c r="A18" s="15" t="inlineStr">
        <is>
          <t>#</t>
        </is>
      </c>
      <c r="B18" s="15" t="inlineStr">
        <is>
          <t>Item</t>
        </is>
      </c>
      <c r="C18" s="15" t="inlineStr">
        <is>
          <t>Fase</t>
        </is>
      </c>
      <c r="D18" s="15" t="inlineStr">
        <is>
          <t>Custo</t>
        </is>
      </c>
      <c r="E18" s="15" t="inlineStr">
        <is>
          <t>Impacto</t>
        </is>
      </c>
      <c r="F18" s="15" t="inlineStr"/>
    </row>
    <row r="19">
      <c r="A19" s="23" t="n">
        <v>1</v>
      </c>
      <c r="B19" s="19" t="inlineStr">
        <is>
          <t>Kit de leveling (Foxshade, Blackheart ×2, Goldrim, Wanderlust)</t>
        </is>
      </c>
      <c r="C19" s="19" t="inlineStr">
        <is>
          <t>Ato 1</t>
        </is>
      </c>
      <c r="D19" s="19" t="inlineStr">
        <is>
          <t>Barato</t>
        </is>
      </c>
      <c r="E19" s="19" t="inlineStr">
        <is>
          <t>Campanha rápida</t>
        </is>
      </c>
      <c r="F19" s="19" t="inlineStr"/>
    </row>
    <row r="20">
      <c r="A20" s="23" t="n">
        <v>2</v>
      </c>
      <c r="B20" s="19" t="inlineStr">
        <is>
          <t>Rattling Sceptre + Trenchtimbre</t>
        </is>
      </c>
      <c r="C20" s="19" t="inlineStr">
        <is>
          <t>Ato 3</t>
        </is>
      </c>
      <c r="D20" s="19" t="inlineStr">
        <is>
          <t>Barato</t>
        </is>
      </c>
      <c r="E20" s="19" t="inlineStr">
        <is>
          <t>Troca para minion</t>
        </is>
      </c>
      <c r="F20" s="19" t="inlineStr"/>
    </row>
    <row r="21">
      <c r="A21" s="23" t="n">
        <v>3</v>
      </c>
      <c r="B21" s="19" t="inlineStr">
        <is>
          <t>Chober Chaber + Treefingers</t>
        </is>
      </c>
      <c r="C21" s="19" t="inlineStr">
        <is>
          <t>Ato 3</t>
        </is>
      </c>
      <c r="D21" s="19" t="inlineStr">
        <is>
          <t>Barato (~7 ex)</t>
        </is>
      </c>
      <c r="E21" s="19" t="inlineStr">
        <is>
          <t>O centro da build</t>
        </is>
      </c>
      <c r="F21" s="19" t="inlineStr"/>
    </row>
    <row r="22">
      <c r="A22" s="23" t="n">
        <v>4</v>
      </c>
      <c r="B22" s="19" t="inlineStr">
        <is>
          <t>The Vertex (versão Equipment)</t>
        </is>
      </c>
      <c r="C22" s="19" t="inlineStr">
        <is>
          <t>Ato 3</t>
        </is>
      </c>
      <c r="D22" s="19" t="inlineStr">
        <is>
          <t>Valor (~0,4 div)</t>
        </is>
      </c>
      <c r="E22" s="19" t="inlineStr">
        <is>
          <t>Libera a Chober com sceptre</t>
        </is>
      </c>
      <c r="F22" s="19" t="inlineStr"/>
    </row>
    <row r="23">
      <c r="A23" s="23" t="n">
        <v>5</v>
      </c>
      <c r="B23" s="19" t="inlineStr">
        <is>
          <t>Enfolding Dawn (+100 Spirit)</t>
        </is>
      </c>
      <c r="C23" s="19" t="inlineStr">
        <is>
          <t>Ato 4</t>
        </is>
      </c>
      <c r="D23" s="19" t="inlineStr">
        <is>
          <t>Barato</t>
        </is>
      </c>
      <c r="E23" s="19" t="inlineStr">
        <is>
          <t>Mais minions</t>
        </is>
      </c>
      <c r="F23" s="19" t="inlineStr"/>
    </row>
    <row r="24">
      <c r="A24" s="23" t="n">
        <v>6</v>
      </c>
      <c r="B24" s="19" t="inlineStr">
        <is>
          <t>Evergrasping Ring ×2</t>
        </is>
      </c>
      <c r="C24" s="19" t="inlineStr">
        <is>
          <t>Ato 4</t>
        </is>
      </c>
      <c r="D24" s="19" t="inlineStr">
        <is>
          <t>Barato</t>
        </is>
      </c>
      <c r="E24" s="19" t="inlineStr">
        <is>
          <t>Chaos para o zoo</t>
        </is>
      </c>
      <c r="F24" s="19" t="inlineStr"/>
    </row>
    <row r="25">
      <c r="A25" s="23" t="n">
        <v>7</v>
      </c>
      <c r="B25" s="19" t="inlineStr">
        <is>
          <t>Sylvan's Effigy + Primate/Rabbit Idol</t>
        </is>
      </c>
      <c r="C25" s="19" t="inlineStr">
        <is>
          <t>Nv 78</t>
        </is>
      </c>
      <c r="D25" s="19" t="inlineStr">
        <is>
          <t>Valor (~1 div)</t>
        </is>
      </c>
      <c r="E25" s="19" t="inlineStr">
        <is>
          <t>Zoo ilimitado</t>
        </is>
      </c>
      <c r="F25" s="19" t="inlineStr"/>
    </row>
    <row r="26">
      <c r="A26" s="23" t="n">
        <v>8</v>
      </c>
      <c r="B26" s="19" t="inlineStr">
        <is>
          <t>Forgotten Warden + Lavianga's Spirits</t>
        </is>
      </c>
      <c r="C26" s="19" t="inlineStr">
        <is>
          <t>Nv 80</t>
        </is>
      </c>
      <c r="D26" s="19" t="inlineStr">
        <is>
          <t>Valor (~0,3 div)</t>
        </is>
      </c>
      <c r="E26" s="19" t="inlineStr">
        <is>
          <t>Spirit Vessel + mana</t>
        </is>
      </c>
      <c r="F26" s="19" t="inlineStr"/>
    </row>
    <row r="27">
      <c r="A27" s="23" t="n">
        <v>9</v>
      </c>
      <c r="B27" s="19" t="inlineStr">
        <is>
          <t>Mageblood · Kalandra's Touch · Rite of Passage</t>
        </is>
      </c>
      <c r="C27" s="19" t="inlineStr">
        <is>
          <t>Endgame</t>
        </is>
      </c>
      <c r="D27" s="19" t="inlineStr">
        <is>
          <t>Luxo</t>
        </is>
      </c>
      <c r="E27" s="19" t="inlineStr">
        <is>
          <t>Teto</t>
        </is>
      </c>
      <c r="F27" s="19" t="inlineStr"/>
    </row>
  </sheetData>
  <mergeCells count="3">
    <mergeCell ref="A2:F2"/>
    <mergeCell ref="A1:F1"/>
    <mergeCell ref="A17:F17"/>
  </mergeCells>
  <pageMargins left="0.75" right="0.75" top="1" bottom="1" header="0.5" footer="0.5"/>
</worksheet>
</file>

<file path=xl/worksheets/sheet7.xml><?xml version="1.0" encoding="utf-8"?>
<worksheet xmlns="http://schemas.openxmlformats.org/spreadsheetml/2006/main">
  <sheetPr>
    <tabColor rgb="00C98E2B"/>
    <outlinePr summaryBelow="1" summaryRight="1"/>
    <pageSetUpPr/>
  </sheetPr>
  <dimension ref="A1:G33"/>
  <sheetViews>
    <sheetView showGridLines="0" zoomScale="100" workbookViewId="0">
      <selection activeCell="A1" sqref="A1"/>
    </sheetView>
  </sheetViews>
  <sheetFormatPr baseColWidth="8" defaultRowHeight="15"/>
  <cols>
    <col width="30" customWidth="1" min="1" max="1"/>
    <col width="12" customWidth="1" min="2" max="2"/>
    <col width="13" customWidth="1" min="3" max="3"/>
    <col width="12" customWidth="1" min="4" max="4"/>
    <col width="10" customWidth="1" min="5" max="5"/>
    <col width="14" customWidth="1" min="6" max="6"/>
    <col width="30" customWidth="1" min="7" max="7"/>
  </cols>
  <sheetData>
    <row r="1" ht="34" customHeight="1">
      <c r="A1" s="1" t="inlineStr">
        <is>
          <t>SPIRIT PLANNER — cabe no seu Spirit?</t>
        </is>
      </c>
      <c r="B1" s="2" t="n"/>
      <c r="C1" s="2" t="n"/>
      <c r="D1" s="2" t="n"/>
      <c r="E1" s="2" t="n"/>
      <c r="F1" s="2" t="n"/>
      <c r="G1" s="2" t="n"/>
    </row>
    <row r="2" ht="30" customHeight="1">
      <c r="A2" s="3" t="inlineStr">
        <is>
          <t>Amarelo = você edita. Estimativa: custo ÷ ((1 + increased) × more/less). Confira sempre o valor final no jogo.</t>
        </is>
      </c>
      <c r="B2" s="2" t="n"/>
      <c r="C2" s="2" t="n"/>
      <c r="D2" s="2" t="n"/>
      <c r="E2" s="2" t="n"/>
      <c r="F2" s="2" t="n"/>
      <c r="G2" s="2" t="n"/>
    </row>
    <row r="4" ht="22" customHeight="1">
      <c r="A4" s="4" t="inlineStr">
        <is>
          <t>PARÂMETROS</t>
        </is>
      </c>
      <c r="B4" s="5" t="n"/>
      <c r="C4" s="5" t="n"/>
      <c r="D4" s="5" t="n"/>
      <c r="E4" s="5" t="n"/>
      <c r="F4" s="5" t="n"/>
      <c r="G4" s="5" t="n"/>
    </row>
    <row r="5">
      <c r="A5" s="6" t="inlineStr">
        <is>
          <t>Spirit total</t>
        </is>
      </c>
      <c r="B5" s="35">
        <f>INÍCIO!B7</f>
        <v/>
      </c>
      <c r="C5" s="32" t="inlineStr">
        <is>
          <t>Vem do INÍCIO (B7).</t>
        </is>
      </c>
    </row>
    <row r="6">
      <c r="A6" s="6" t="inlineStr">
        <is>
          <t>Trusted Kinship alocado?</t>
        </is>
      </c>
      <c r="B6" s="36" t="inlineStr">
        <is>
          <t>Sim</t>
        </is>
      </c>
      <c r="C6" s="32" t="inlineStr">
        <is>
          <t>30% more eficiência p/ Companion · 20% less p/ o resto.</t>
        </is>
      </c>
    </row>
    <row r="7">
      <c r="A7" s="6" t="inlineStr">
        <is>
          <t>Easy Going alocado?</t>
        </is>
      </c>
      <c r="B7" s="36" t="inlineStr">
        <is>
          <t>Sim</t>
        </is>
      </c>
      <c r="C7" s="32" t="inlineStr">
        <is>
          <t>+25% increased eficiência de Companion.</t>
        </is>
      </c>
    </row>
    <row r="8">
      <c r="A8" s="6" t="inlineStr">
        <is>
          <t>Outros % increased eficiência (ex.: 0,10)</t>
        </is>
      </c>
      <c r="B8" s="37" t="n">
        <v>0</v>
      </c>
      <c r="C8" s="32" t="inlineStr">
        <is>
          <t>Jewels/itens. Digite como fração.</t>
        </is>
      </c>
    </row>
    <row r="9">
      <c r="A9" s="6" t="inlineStr">
        <is>
          <t>Idolatry alocado?</t>
        </is>
      </c>
      <c r="B9" s="36" t="inlineStr">
        <is>
          <t>Não</t>
        </is>
      </c>
      <c r="C9" s="32" t="inlineStr">
        <is>
          <t>+2% eficiência por Idol.</t>
        </is>
      </c>
    </row>
    <row r="10">
      <c r="A10" s="6" t="inlineStr">
        <is>
          <t>Nº de Idols equipados</t>
        </is>
      </c>
      <c r="B10" s="36" t="n">
        <v>0</v>
      </c>
      <c r="C10" s="32" t="inlineStr"/>
    </row>
    <row r="11">
      <c r="A11" s="6" t="inlineStr">
        <is>
          <t>Increased (Companion)</t>
        </is>
      </c>
      <c r="B11" s="38">
        <f>IF(B7="Sim",0.25,0)+B8+IF(B9="Sim",0.02*B10,0)</f>
        <v/>
      </c>
    </row>
    <row r="12">
      <c r="A12" s="6" t="inlineStr">
        <is>
          <t>Increased (Outros)</t>
        </is>
      </c>
      <c r="B12" s="38">
        <f>B8+IF(B9="Sim",0.02*B10,0)</f>
        <v/>
      </c>
    </row>
    <row r="13">
      <c r="A13" s="6" t="inlineStr">
        <is>
          <t>Multiplicador more/less (Companion / Outro)</t>
        </is>
      </c>
      <c r="B13">
        <f>IF(B6="Sim",1.3,1)</f>
        <v/>
      </c>
      <c r="C13">
        <f>IF(B6="Sim",0.8,1)</f>
        <v/>
      </c>
    </row>
    <row r="15" ht="22" customHeight="1">
      <c r="A15" s="13" t="inlineStr">
        <is>
          <t>SEU ZOO (exemplo preenchido: Ato 4 barato — troque pelos seus valores)</t>
        </is>
      </c>
      <c r="B15" s="14" t="n"/>
      <c r="C15" s="14" t="n"/>
      <c r="D15" s="14" t="n"/>
      <c r="E15" s="14" t="n"/>
      <c r="F15" s="14" t="n"/>
      <c r="G15" s="14" t="n"/>
    </row>
    <row r="16" ht="22" customHeight="1">
      <c r="A16" s="15" t="inlineStr">
        <is>
          <t>Skill / Companion</t>
        </is>
      </c>
      <c r="B16" s="15" t="inlineStr">
        <is>
          <t>Ativo?</t>
        </is>
      </c>
      <c r="C16" s="15" t="inlineStr">
        <is>
          <t>Tipo</t>
        </is>
      </c>
      <c r="D16" s="15" t="inlineStr">
        <is>
          <t>Custo base</t>
        </is>
      </c>
      <c r="E16" s="15" t="inlineStr">
        <is>
          <t>Unidade</t>
        </is>
      </c>
      <c r="F16" s="15" t="inlineStr">
        <is>
          <t>Spirit usado</t>
        </is>
      </c>
      <c r="G16" s="15" t="inlineStr">
        <is>
          <t>Nota</t>
        </is>
      </c>
    </row>
    <row r="17">
      <c r="A17" s="39" t="inlineStr">
        <is>
          <t>Mighty Silverfist</t>
        </is>
      </c>
      <c r="B17" s="40" t="inlineStr">
        <is>
          <t>Sim</t>
        </is>
      </c>
      <c r="C17" s="40" t="inlineStr">
        <is>
          <t>Companion</t>
        </is>
      </c>
      <c r="D17" s="40" t="n">
        <v>47.4</v>
      </c>
      <c r="E17" s="40" t="inlineStr">
        <is>
          <t>%</t>
        </is>
      </c>
      <c r="F17" s="41">
        <f>IF(B17&lt;&gt;"Sim",0,IF(E17="%",D17/100*$B$5,D17)/IF(C17="Companion",(1+$B$11)*$B$13,(1+$B$12)*$C$13))</f>
        <v/>
      </c>
      <c r="G17" s="42" t="inlineStr">
        <is>
          <t>47,4% antes de reduções (guia)</t>
        </is>
      </c>
    </row>
    <row r="18">
      <c r="A18" s="39" t="inlineStr">
        <is>
          <t>Quadrilla (2º beast)</t>
        </is>
      </c>
      <c r="B18" s="40" t="inlineStr">
        <is>
          <t>Sim</t>
        </is>
      </c>
      <c r="C18" s="40" t="inlineStr">
        <is>
          <t>Companion</t>
        </is>
      </c>
      <c r="D18" s="40" t="n">
        <v>42.3</v>
      </c>
      <c r="E18" s="40" t="inlineStr">
        <is>
          <t>%</t>
        </is>
      </c>
      <c r="F18" s="41">
        <f>IF(B18&lt;&gt;"Sim",0,IF(E18="%",D18/100*$B$5,D18)/IF(C18="Companion",(1+$B$11)*$B$13,(1+$B$12)*$C$13))</f>
        <v/>
      </c>
      <c r="G18" s="42" t="inlineStr">
        <is>
          <t>42,3% antes de reduções (guia)</t>
        </is>
      </c>
    </row>
    <row r="19">
      <c r="A19" s="39" t="inlineStr">
        <is>
          <t>Wild Protector</t>
        </is>
      </c>
      <c r="B19" s="40" t="inlineStr">
        <is>
          <t>Sim</t>
        </is>
      </c>
      <c r="C19" s="40" t="inlineStr">
        <is>
          <t>Companion</t>
        </is>
      </c>
      <c r="D19" s="40" t="n">
        <v>0</v>
      </c>
      <c r="E19" s="40" t="inlineStr">
        <is>
          <t>Flat</t>
        </is>
      </c>
      <c r="F19" s="41">
        <f>IF(B19&lt;&gt;"Sim",0,IF(E19="%",D19/100*$B$5,D19)/IF(C19="Companion",(1+$B$11)*$B$13,(1+$B$12)*$C$13))</f>
        <v/>
      </c>
      <c r="G19" s="42" t="inlineStr">
        <is>
          <t>Digite o custo mostrado no jogo</t>
        </is>
      </c>
    </row>
    <row r="20">
      <c r="A20" s="39" t="inlineStr">
        <is>
          <t>Wind Dancer</t>
        </is>
      </c>
      <c r="B20" s="40" t="inlineStr">
        <is>
          <t>Sim</t>
        </is>
      </c>
      <c r="C20" s="40" t="inlineStr">
        <is>
          <t>Outro</t>
        </is>
      </c>
      <c r="D20" s="40" t="n">
        <v>0</v>
      </c>
      <c r="E20" s="40" t="inlineStr">
        <is>
          <t>Flat</t>
        </is>
      </c>
      <c r="F20" s="41">
        <f>IF(B20&lt;&gt;"Sim",0,IF(E20="%",D20/100*$B$5,D20)/IF(C20="Companion",(1+$B$11)*$B$13,(1+$B$12)*$C$13))</f>
        <v/>
      </c>
      <c r="G20" s="42" t="inlineStr">
        <is>
          <t>Digite o custo base do jogo</t>
        </is>
      </c>
    </row>
    <row r="21">
      <c r="A21" s="39" t="inlineStr">
        <is>
          <t>Discipline / Malice</t>
        </is>
      </c>
      <c r="B21" s="40" t="inlineStr">
        <is>
          <t>Não</t>
        </is>
      </c>
      <c r="C21" s="40" t="inlineStr">
        <is>
          <t>Outro</t>
        </is>
      </c>
      <c r="D21" s="40" t="n">
        <v>0</v>
      </c>
      <c r="E21" s="40" t="inlineStr">
        <is>
          <t>Flat</t>
        </is>
      </c>
      <c r="F21" s="41">
        <f>IF(B21&lt;&gt;"Sim",0,IF(E21="%",D21/100*$B$5,D21)/IF(C21="Companion",(1+$B$11)*$B$13,(1+$B$12)*$C$13))</f>
        <v/>
      </c>
      <c r="G21" s="42" t="inlineStr">
        <is>
          <t>Digite o custo base do jogo</t>
        </is>
      </c>
    </row>
    <row r="22">
      <c r="A22" s="39" t="inlineStr">
        <is>
          <t>Withering Presence</t>
        </is>
      </c>
      <c r="B22" s="40" t="inlineStr">
        <is>
          <t>Não</t>
        </is>
      </c>
      <c r="C22" s="40" t="inlineStr">
        <is>
          <t>Outro</t>
        </is>
      </c>
      <c r="D22" s="40" t="n">
        <v>0</v>
      </c>
      <c r="E22" s="40" t="inlineStr">
        <is>
          <t>Flat</t>
        </is>
      </c>
      <c r="F22" s="41">
        <f>IF(B22&lt;&gt;"Sim",0,IF(E22="%",D22/100*$B$5,D22)/IF(C22="Companion",(1+$B$11)*$B$13,(1+$B$12)*$C$13))</f>
        <v/>
      </c>
      <c r="G22" s="42" t="inlineStr">
        <is>
          <t>Sofre o 'less' do Trusted Kinship</t>
        </is>
      </c>
    </row>
    <row r="23">
      <c r="A23" s="39" t="inlineStr">
        <is>
          <t>Skeletal Cleric</t>
        </is>
      </c>
      <c r="B23" s="40" t="inlineStr">
        <is>
          <t>Não</t>
        </is>
      </c>
      <c r="C23" s="40" t="inlineStr">
        <is>
          <t>Outro</t>
        </is>
      </c>
      <c r="D23" s="40" t="n">
        <v>0</v>
      </c>
      <c r="E23" s="40" t="inlineStr">
        <is>
          <t>Flat</t>
        </is>
      </c>
      <c r="F23" s="41">
        <f>IF(B23&lt;&gt;"Sim",0,IF(E23="%",D23/100*$B$5,D23)/IF(C23="Companion",(1+$B$11)*$B$13,(1+$B$12)*$C$13))</f>
        <v/>
      </c>
      <c r="G23" s="42" t="inlineStr"/>
    </row>
    <row r="24">
      <c r="A24" s="39" t="inlineStr">
        <is>
          <t>Vile Vulture</t>
        </is>
      </c>
      <c r="B24" s="40" t="inlineStr">
        <is>
          <t>Não</t>
        </is>
      </c>
      <c r="C24" s="40" t="inlineStr">
        <is>
          <t>Companion</t>
        </is>
      </c>
      <c r="D24" s="40" t="n">
        <v>45.3</v>
      </c>
      <c r="E24" s="40" t="inlineStr">
        <is>
          <t>%</t>
        </is>
      </c>
      <c r="F24" s="41">
        <f>IF(B24&lt;&gt;"Sim",0,IF(E24="%",D24/100*$B$5,D24)/IF(C24="Companion",(1+$B$11)*$B$13,(1+$B$12)*$C$13))</f>
        <v/>
      </c>
      <c r="G24" s="42" t="inlineStr">
        <is>
          <t>T15</t>
        </is>
      </c>
    </row>
    <row r="25">
      <c r="A25" s="39" t="inlineStr">
        <is>
          <t>Rhex</t>
        </is>
      </c>
      <c r="B25" s="40" t="inlineStr">
        <is>
          <t>Não</t>
        </is>
      </c>
      <c r="C25" s="40" t="inlineStr">
        <is>
          <t>Companion</t>
        </is>
      </c>
      <c r="D25" s="40" t="n">
        <v>31.2</v>
      </c>
      <c r="E25" s="40" t="inlineStr">
        <is>
          <t>%</t>
        </is>
      </c>
      <c r="F25" s="41">
        <f>IF(B25&lt;&gt;"Sim",0,IF(E25="%",D25/100*$B$5,D25)/IF(C25="Companion",(1+$B$11)*$B$13,(1+$B$12)*$C$13))</f>
        <v/>
      </c>
      <c r="G25" s="42" t="inlineStr">
        <is>
          <t>Aura barata</t>
        </is>
      </c>
    </row>
    <row r="26">
      <c r="A26" s="39" t="inlineStr">
        <is>
          <t>Outro</t>
        </is>
      </c>
      <c r="B26" s="40" t="inlineStr">
        <is>
          <t>Não</t>
        </is>
      </c>
      <c r="C26" s="40" t="inlineStr">
        <is>
          <t>Outro</t>
        </is>
      </c>
      <c r="D26" s="40" t="n">
        <v>0</v>
      </c>
      <c r="E26" s="40" t="inlineStr">
        <is>
          <t>Flat</t>
        </is>
      </c>
      <c r="F26" s="41">
        <f>IF(B26&lt;&gt;"Sim",0,IF(E26="%",D26/100*$B$5,D26)/IF(C26="Companion",(1+$B$11)*$B$13,(1+$B$12)*$C$13))</f>
        <v/>
      </c>
      <c r="G26" s="42" t="inlineStr"/>
    </row>
    <row r="28">
      <c r="A28" s="43" t="inlineStr">
        <is>
          <t>Spirit reservado</t>
        </is>
      </c>
      <c r="B28" s="44">
        <f>SUM(F17:F26)</f>
        <v/>
      </c>
    </row>
    <row r="29">
      <c r="A29" s="43" t="inlineStr">
        <is>
          <t>Spirit livre</t>
        </is>
      </c>
      <c r="B29" s="44">
        <f>B5-B28</f>
        <v/>
      </c>
    </row>
    <row r="30">
      <c r="A30" s="43" t="inlineStr">
        <is>
          <t>Uso</t>
        </is>
      </c>
      <c r="B30" s="45">
        <f>IFERROR(B28/B5,0)</f>
        <v/>
      </c>
    </row>
    <row r="31">
      <c r="A31" s="43" t="inlineStr">
        <is>
          <t>Status</t>
        </is>
      </c>
      <c r="B31" s="43">
        <f>IF(B29&lt;0,"ESTOUROU — desligue algo",IF(B30&gt;0.9,"No limite","OK"))</f>
        <v/>
      </c>
    </row>
    <row r="33">
      <c r="A33" s="32" t="inlineStr">
        <is>
          <t>Assunção: custos '%' são % do Spirit máximo antes de reduções (conforme o guia imortilize). Os valores 'Flat' você copia do jogo. É uma estimativa — o painel de skills do jogo é a verdade final.</t>
        </is>
      </c>
    </row>
  </sheetData>
  <mergeCells count="12">
    <mergeCell ref="A33:G33"/>
    <mergeCell ref="C7:G7"/>
    <mergeCell ref="A1:G1"/>
    <mergeCell ref="B31:D31"/>
    <mergeCell ref="C6:G6"/>
    <mergeCell ref="C10:G10"/>
    <mergeCell ref="A4:G4"/>
    <mergeCell ref="C5:G5"/>
    <mergeCell ref="A2:G2"/>
    <mergeCell ref="A15:G15"/>
    <mergeCell ref="C8:G8"/>
    <mergeCell ref="C9:G9"/>
  </mergeCells>
  <conditionalFormatting sqref="B29">
    <cfRule type="cellIs" priority="1" operator="lessThan" dxfId="3">
      <formula>0</formula>
    </cfRule>
  </conditionalFormatting>
  <conditionalFormatting sqref="B30">
    <cfRule type="dataBar" priority="2">
      <dataBar>
        <cfvo type="num" val="0"/>
        <cfvo type="num" val="1"/>
        <color rgb="00C98E2B"/>
      </dataBar>
    </cfRule>
  </conditionalFormatting>
  <conditionalFormatting sqref="B31">
    <cfRule type="expression" priority="3" dxfId="3">
      <formula>LEFT(B31,3)="EST"</formula>
    </cfRule>
    <cfRule type="expression" priority="4" dxfId="1">
      <formula>B31="OK"</formula>
    </cfRule>
  </conditionalFormatting>
  <dataValidations count="3">
    <dataValidation sqref="B6 B7 B9 B17 B18 B19 B20 B21 B22 B23 B24 B25 B26" showDropDown="0" showInputMessage="0" showErrorMessage="0" allowBlank="0" type="list">
      <formula1>=Listas!$I$2:$I$3</formula1>
    </dataValidation>
    <dataValidation sqref="C17 C18 C19 C20 C21 C22 C23 C24 C25 C26" showDropDown="0" showInputMessage="0" showErrorMessage="0" allowBlank="0" type="list">
      <formula1>=Listas!$K$2:$K$3</formula1>
    </dataValidation>
    <dataValidation sqref="E17 E18 E19 E20 E21 E22 E23 E24 E25 E26" showDropDown="0" showInputMessage="0" showErrorMessage="0" allowBlank="0" type="list">
      <formula1>=Listas!$L$2:$L$3</formula1>
    </dataValidation>
  </dataValidations>
  <pageMargins left="0.75" right="0.75" top="1" bottom="1" header="0.5" footer="0.5"/>
</worksheet>
</file>

<file path=xl/worksheets/sheet8.xml><?xml version="1.0" encoding="utf-8"?>
<worksheet xmlns="http://schemas.openxmlformats.org/spreadsheetml/2006/main">
  <sheetPr>
    <tabColor rgb="003E9E86"/>
    <outlinePr summaryBelow="1" summaryRight="1"/>
    <pageSetUpPr/>
  </sheetPr>
  <dimension ref="A1:H21"/>
  <sheetViews>
    <sheetView showGridLines="0" zoomScale="100" workbookViewId="0">
      <pane xSplit="1" ySplit="3" topLeftCell="B4" activePane="bottomRight" state="frozen"/>
      <selection pane="topRight"/>
      <selection pane="bottomLeft"/>
      <selection pane="bottomRight" activeCell="A1" sqref="A1"/>
    </sheetView>
  </sheetViews>
  <sheetFormatPr baseColWidth="8" defaultRowHeight="15"/>
  <cols>
    <col width="22" customWidth="1" min="1" max="1"/>
    <col width="34" customWidth="1" min="2" max="2"/>
    <col width="20" customWidth="1" min="3" max="3"/>
    <col width="11" customWidth="1" min="4" max="4"/>
    <col width="9" customWidth="1" min="5" max="5"/>
    <col width="38" customWidth="1" min="6" max="6"/>
    <col width="46" customWidth="1" min="7" max="7"/>
    <col width="20" customWidth="1" min="8" max="8"/>
  </cols>
  <sheetData>
    <row r="1" ht="34" customHeight="1">
      <c r="A1" s="1" t="inlineStr">
        <is>
          <t>COMPANIONS &amp; BEASTS — o que capturar</t>
        </is>
      </c>
      <c r="B1" s="2" t="n"/>
      <c r="C1" s="2" t="n"/>
      <c r="D1" s="2" t="n"/>
      <c r="E1" s="2" t="n"/>
      <c r="F1" s="2" t="n"/>
      <c r="G1" s="2" t="n"/>
      <c r="H1" s="2" t="n"/>
    </row>
    <row r="2" ht="30" customHeight="1">
      <c r="A2" s="3" t="inlineStr">
        <is>
          <t>Custo = % de Spirit antes de reduções. Prioridade de aura: Extra Physical ou Haste Aura &gt; Energy Shield ou Invulnerability Aura &gt; Temporal Bubble &gt; Elemental Resistance Aura</t>
        </is>
      </c>
      <c r="B2" s="2" t="n"/>
      <c r="C2" s="2" t="n"/>
      <c r="D2" s="2" t="n"/>
      <c r="E2" s="2" t="n"/>
      <c r="F2" s="2" t="n"/>
      <c r="G2" s="2" t="n"/>
      <c r="H2" s="2" t="n"/>
    </row>
    <row r="3" ht="22" customHeight="1">
      <c r="A3" s="15" t="inlineStr">
        <is>
          <t>Beast</t>
        </is>
      </c>
      <c r="B3" s="15" t="inlineStr">
        <is>
          <t>Onde</t>
        </is>
      </c>
      <c r="C3" s="15" t="inlineStr">
        <is>
          <t>Papel</t>
        </is>
      </c>
      <c r="D3" s="15" t="inlineStr">
        <is>
          <t>Custo base</t>
        </is>
      </c>
      <c r="E3" s="15" t="inlineStr">
        <is>
          <t>Tier</t>
        </is>
      </c>
      <c r="F3" s="15" t="inlineStr">
        <is>
          <t>Mods desejados</t>
        </is>
      </c>
      <c r="G3" s="15" t="inlineStr">
        <is>
          <t>Supports</t>
        </is>
      </c>
      <c r="H3" s="15" t="inlineStr">
        <is>
          <t>Requer</t>
        </is>
      </c>
    </row>
    <row r="4" ht="34" customHeight="1">
      <c r="A4" s="18" t="inlineStr">
        <is>
          <t>Mighty Silverfist / Zekoa</t>
        </is>
      </c>
      <c r="B4" s="19" t="inlineStr">
        <is>
          <t>Ato 3 Jungle Ruins / mapas Riverside e Rupture</t>
        </is>
      </c>
      <c r="C4" s="19" t="inlineStr">
        <is>
          <t>Único DPS de verdade</t>
        </is>
      </c>
      <c r="D4" s="46" t="n">
        <v>0.474</v>
      </c>
      <c r="E4" s="47" t="inlineStr">
        <is>
          <t>S+</t>
        </is>
      </c>
      <c r="F4" s="19" t="inlineStr">
        <is>
          <t>Extra Crits · Hasted · Extra Damage as Chaos/Physical</t>
        </is>
      </c>
      <c r="G4" s="19" t="inlineStr">
        <is>
          <t>Feeding Frenzy II · Rage III · Muster · Heft · Rapid Attacks II</t>
        </is>
      </c>
      <c r="H4" s="19" t="inlineStr">
        <is>
          <t>Tame Beast + The Natural Order</t>
        </is>
      </c>
    </row>
    <row r="5" ht="34" customHeight="1">
      <c r="A5" s="18" t="inlineStr">
        <is>
          <t>Quill Crab (Porcupine)</t>
        </is>
      </c>
      <c r="B5" s="19" t="inlineStr">
        <is>
          <t>Ato 4 Whakapanu Island (essence e raros na praia)</t>
        </is>
      </c>
      <c r="C5" s="19" t="inlineStr">
        <is>
          <t>Aura bot barato</t>
        </is>
      </c>
      <c r="D5" s="46" t="n">
        <v>0.249</v>
      </c>
      <c r="E5" s="47" t="inlineStr">
        <is>
          <t>S</t>
        </is>
      </c>
      <c r="F5" s="19" t="inlineStr">
        <is>
          <t>Haste Aura (o mais fácil de achar)</t>
        </is>
      </c>
      <c r="G5" s="19" t="inlineStr">
        <is>
          <t>Loyalty · Last Gasp · Elemental Army · Meat Shield II · Minion Mastery</t>
        </is>
      </c>
      <c r="H5" s="19" t="inlineStr">
        <is>
          <t>Tame Beast</t>
        </is>
      </c>
    </row>
    <row r="6" ht="34" customHeight="1">
      <c r="A6" s="18" t="inlineStr">
        <is>
          <t>Coconut Crab</t>
        </is>
      </c>
      <c r="B6" s="19" t="inlineStr">
        <is>
          <t>Ato 4 Whakapanu Island</t>
        </is>
      </c>
      <c r="C6" s="19" t="inlineStr">
        <is>
          <t>Aura bot barato</t>
        </is>
      </c>
      <c r="D6" s="46" t="n">
        <v>0.249</v>
      </c>
      <c r="E6" s="47" t="inlineStr">
        <is>
          <t>S</t>
        </is>
      </c>
      <c r="F6" s="19" t="inlineStr">
        <is>
          <t>Haste / Physical Aura</t>
        </is>
      </c>
      <c r="G6" s="19" t="inlineStr">
        <is>
          <t>Loyalty · Last Gasp · Elemental Army · Meat Shield II · Minion Mastery</t>
        </is>
      </c>
      <c r="H6" s="19" t="inlineStr">
        <is>
          <t>Tame Beast</t>
        </is>
      </c>
    </row>
    <row r="7" ht="34" customHeight="1">
      <c r="A7" s="18" t="inlineStr">
        <is>
          <t>Swarming Wisp</t>
        </is>
      </c>
      <c r="B7" s="19" t="inlineStr">
        <is>
          <t>Ato 5 Ashen Forest (essence)</t>
        </is>
      </c>
      <c r="C7" s="19" t="inlineStr">
        <is>
          <t>Aura bot mais barato</t>
        </is>
      </c>
      <c r="D7" s="46" t="n">
        <v>0.21</v>
      </c>
      <c r="E7" s="47" t="inlineStr">
        <is>
          <t>S</t>
        </is>
      </c>
      <c r="F7" s="19" t="inlineStr">
        <is>
          <t>Qualquer aura T1 exceto Haste</t>
        </is>
      </c>
      <c r="G7" s="19" t="inlineStr">
        <is>
          <t>Loyalty · Last Gasp · Elemental Army · Meat Shield II · Minion Mastery</t>
        </is>
      </c>
      <c r="H7" s="19" t="inlineStr">
        <is>
          <t>Tame Beast</t>
        </is>
      </c>
    </row>
    <row r="8" ht="34" customHeight="1">
      <c r="A8" s="18" t="inlineStr">
        <is>
          <t>Plague Swarm</t>
        </is>
      </c>
      <c r="B8" s="19" t="inlineStr">
        <is>
          <t>Ato 2 Mawdun Quarry (essence)</t>
        </is>
      </c>
      <c r="C8" s="19" t="inlineStr">
        <is>
          <t>Aura bot mais barato</t>
        </is>
      </c>
      <c r="D8" s="46" t="n">
        <v>0.21</v>
      </c>
      <c r="E8" s="48" t="inlineStr">
        <is>
          <t>A+</t>
        </is>
      </c>
      <c r="F8" s="19" t="inlineStr">
        <is>
          <t>Aura T1</t>
        </is>
      </c>
      <c r="G8" s="19" t="inlineStr">
        <is>
          <t>Loyalty · Last Gasp · Elemental Army · Meat Shield II · Minion Mastery</t>
        </is>
      </c>
      <c r="H8" s="19" t="inlineStr">
        <is>
          <t>Tame Beast</t>
        </is>
      </c>
    </row>
    <row r="9" ht="34" customHeight="1">
      <c r="A9" s="18" t="inlineStr">
        <is>
          <t>Crag Leaper</t>
        </is>
      </c>
      <c r="B9" s="19" t="inlineStr">
        <is>
          <t>Ato 2 Vastiri Outskirts (essence)</t>
        </is>
      </c>
      <c r="C9" s="19" t="inlineStr">
        <is>
          <t>Aura bot</t>
        </is>
      </c>
      <c r="D9" s="46" t="n">
        <v>0.231</v>
      </c>
      <c r="E9" s="48" t="inlineStr">
        <is>
          <t>A+</t>
        </is>
      </c>
      <c r="F9" s="19" t="inlineStr">
        <is>
          <t>Aura T1 (NUNCA Haste: é very_fast_movement)</t>
        </is>
      </c>
      <c r="G9" s="19" t="inlineStr">
        <is>
          <t>Loyalty · Last Gasp · Elemental Army · Meat Shield II · Minion Mastery</t>
        </is>
      </c>
      <c r="H9" s="19" t="inlineStr">
        <is>
          <t>Tame Beast</t>
        </is>
      </c>
    </row>
    <row r="10" ht="34" customHeight="1">
      <c r="A10" s="18" t="inlineStr">
        <is>
          <t>Bramble Ape</t>
        </is>
      </c>
      <c r="B10" s="19" t="inlineStr">
        <is>
          <t>Ato 5 Kriar Village</t>
        </is>
      </c>
      <c r="C10" s="19" t="inlineStr">
        <is>
          <t>Aura bot</t>
        </is>
      </c>
      <c r="D10" s="46" t="n">
        <v>0.249</v>
      </c>
      <c r="E10" s="48" t="inlineStr">
        <is>
          <t>A</t>
        </is>
      </c>
      <c r="F10" s="19" t="inlineStr">
        <is>
          <t>Aura T1</t>
        </is>
      </c>
      <c r="G10" s="19" t="inlineStr">
        <is>
          <t>Loyalty · Last Gasp · Elemental Army · Meat Shield II · Minion Mastery</t>
        </is>
      </c>
      <c r="H10" s="19" t="inlineStr">
        <is>
          <t>Tame Beast</t>
        </is>
      </c>
    </row>
    <row r="11" ht="34" customHeight="1">
      <c r="A11" s="18" t="inlineStr">
        <is>
          <t>Rasp Scavenger</t>
        </is>
      </c>
      <c r="B11" s="19" t="inlineStr">
        <is>
          <t>Ato 5 Khari Crossing (essence)</t>
        </is>
      </c>
      <c r="C11" s="19" t="inlineStr">
        <is>
          <t>Aura bot reserva</t>
        </is>
      </c>
      <c r="D11" s="46" t="n">
        <v>0.267</v>
      </c>
      <c r="E11" s="48" t="inlineStr">
        <is>
          <t>A</t>
        </is>
      </c>
      <c r="F11" s="19" t="inlineStr">
        <is>
          <t>Aura T1</t>
        </is>
      </c>
      <c r="G11" s="19" t="inlineStr">
        <is>
          <t>Loyalty · Last Gasp · Elemental Army · Meat Shield II · Minion Mastery</t>
        </is>
      </c>
      <c r="H11" s="19" t="inlineStr">
        <is>
          <t>Tame Beast</t>
        </is>
      </c>
    </row>
    <row r="12" ht="34" customHeight="1">
      <c r="A12" s="18" t="inlineStr">
        <is>
          <t>Diretusk Boar</t>
        </is>
      </c>
      <c r="B12" s="19" t="inlineStr">
        <is>
          <t>Ato 3 Infested Barrens (garantido)</t>
        </is>
      </c>
      <c r="C12" s="19" t="inlineStr">
        <is>
          <t>Companion de campanha</t>
        </is>
      </c>
      <c r="D12" s="46" t="n">
        <v>0.39</v>
      </c>
      <c r="E12" s="48" t="inlineStr">
        <is>
          <t>A</t>
        </is>
      </c>
      <c r="F12" s="19" t="inlineStr">
        <is>
          <t>Qualquer</t>
        </is>
      </c>
      <c r="G12" s="19" t="inlineStr">
        <is>
          <t>Loyalty · Muster · Rapid Attacks II · Minion Mastery</t>
        </is>
      </c>
      <c r="H12" s="19" t="inlineStr">
        <is>
          <t>Tame Beast</t>
        </is>
      </c>
    </row>
    <row r="13" ht="19" customHeight="1">
      <c r="A13" s="18" t="inlineStr">
        <is>
          <t>Antlion Charger</t>
        </is>
      </c>
      <c r="B13" s="19" t="inlineStr">
        <is>
          <t>Ato 3 Infested Barrens (garantido)</t>
        </is>
      </c>
      <c r="C13" s="19" t="inlineStr">
        <is>
          <t>Companion de campanha (setup de 3 do Mattjestic)</t>
        </is>
      </c>
      <c r="D13" s="46" t="n">
        <v>0.423</v>
      </c>
      <c r="E13" s="48" t="inlineStr">
        <is>
          <t>A</t>
        </is>
      </c>
      <c r="F13" s="19" t="inlineStr">
        <is>
          <t>Qualquer</t>
        </is>
      </c>
      <c r="G13" s="19" t="inlineStr">
        <is>
          <t>Loyalty · Last Gasp</t>
        </is>
      </c>
      <c r="H13" s="19" t="inlineStr">
        <is>
          <t>Tame Beast</t>
        </is>
      </c>
    </row>
    <row r="14" ht="34" customHeight="1">
      <c r="A14" s="18" t="inlineStr">
        <is>
          <t>Azmerian Wolf</t>
        </is>
      </c>
      <c r="B14" s="19" t="inlineStr">
        <is>
          <t>Vem no Sylvan's Effigy</t>
        </is>
      </c>
      <c r="C14" s="19" t="inlineStr">
        <is>
          <t>2º dano</t>
        </is>
      </c>
      <c r="D14" s="46" t="inlineStr">
        <is>
          <t>—</t>
        </is>
      </c>
      <c r="E14" s="47" t="inlineStr">
        <is>
          <t>S</t>
        </is>
      </c>
      <c r="F14" s="19" t="inlineStr">
        <is>
          <t>—</t>
        </is>
      </c>
      <c r="G14" s="19" t="inlineStr">
        <is>
          <t>Feeding Frenzy II · Rapid Attacks II · Rage III · Hulking Minions/Muster · Loyalty</t>
        </is>
      </c>
      <c r="H14" s="19" t="inlineStr">
        <is>
          <t>Sylvan's Effigy</t>
        </is>
      </c>
    </row>
    <row r="16" ht="22" customHeight="1">
      <c r="A16" s="13" t="inlineStr">
        <is>
          <t>LOOP DE CAPTURA</t>
        </is>
      </c>
      <c r="B16" s="14" t="n"/>
      <c r="C16" s="14" t="n"/>
      <c r="D16" s="14" t="n"/>
      <c r="E16" s="14" t="n"/>
      <c r="F16" s="14" t="n"/>
      <c r="G16" s="14" t="n"/>
      <c r="H16" s="14" t="n"/>
    </row>
    <row r="17">
      <c r="A17" s="49" t="inlineStr">
        <is>
          <t>Passo 1</t>
        </is>
      </c>
      <c r="B17" t="inlineStr">
        <is>
          <t>Ache um beast raro/unique capturável.</t>
        </is>
      </c>
    </row>
    <row r="18">
      <c r="A18" s="49" t="inlineStr">
        <is>
          <t>Passo 2</t>
        </is>
      </c>
      <c r="B18" t="inlineStr">
        <is>
          <t>Pause (atalho do Marketplace no botão do meio) e leia os mods antes de bater.</t>
        </is>
      </c>
    </row>
    <row r="19">
      <c r="A19" s="49" t="inlineStr">
        <is>
          <t>Passo 3</t>
        </is>
      </c>
      <c r="B19" t="inlineStr">
        <is>
          <t>Se não servir, siga em frente; se servir, use Tame Beast com ele em vida baixa.</t>
        </is>
      </c>
    </row>
    <row r="20">
      <c r="A20" s="49" t="inlineStr">
        <is>
          <t>Passo 4</t>
        </is>
      </c>
      <c r="B20" t="inlineStr">
        <is>
          <t>Compare a reserva no Spirit Planner: aura boa que estoura Spirit piora o setup.</t>
        </is>
      </c>
    </row>
    <row r="21">
      <c r="A21" s="49" t="inlineStr">
        <is>
          <t>Passo 5</t>
        </is>
      </c>
      <c r="B21" t="inlineStr">
        <is>
          <t>Suba a gem Tame Beast e coloque supports de sobrevivência (Meat Shield II, Loyalty).</t>
        </is>
      </c>
    </row>
  </sheetData>
  <mergeCells count="8">
    <mergeCell ref="B17:H17"/>
    <mergeCell ref="B18:H18"/>
    <mergeCell ref="B21:H21"/>
    <mergeCell ref="A16:H16"/>
    <mergeCell ref="A2:H2"/>
    <mergeCell ref="A1:H1"/>
    <mergeCell ref="B19:H19"/>
    <mergeCell ref="B20:H20"/>
  </mergeCells>
  <pageMargins left="0.75" right="0.75" top="1" bottom="1" header="0.5" footer="0.5"/>
</worksheet>
</file>

<file path=xl/worksheets/sheet9.xml><?xml version="1.0" encoding="utf-8"?>
<worksheet xmlns="http://schemas.openxmlformats.org/spreadsheetml/2006/main">
  <sheetPr>
    <tabColor rgb="003E9E86"/>
    <outlinePr summaryBelow="1" summaryRight="1"/>
    <pageSetUpPr/>
  </sheetPr>
  <dimension ref="A1:F26"/>
  <sheetViews>
    <sheetView showGridLines="0" zoomScale="100" workbookViewId="0">
      <selection activeCell="A1" sqref="A1"/>
    </sheetView>
  </sheetViews>
  <sheetFormatPr baseColWidth="8" defaultRowHeight="15"/>
  <cols>
    <col width="8" customWidth="1" min="1" max="1"/>
    <col width="26" customWidth="1" min="2" max="2"/>
    <col width="26" customWidth="1" min="3" max="3"/>
    <col width="50" customWidth="1" min="4" max="4"/>
    <col width="44" customWidth="1" min="5" max="5"/>
    <col width="14" customWidth="1" min="6" max="6"/>
  </cols>
  <sheetData>
    <row r="1" ht="34" customHeight="1">
      <c r="A1" s="1" t="inlineStr">
        <is>
          <t>ASCENDÊNCIA &amp; ÁRVORE DE PASSIVAS</t>
        </is>
      </c>
      <c r="B1" s="2" t="n"/>
      <c r="C1" s="2" t="n"/>
      <c r="D1" s="2" t="n"/>
      <c r="E1" s="2" t="n"/>
      <c r="F1" s="2" t="n"/>
    </row>
    <row r="2" ht="30" customHeight="1">
      <c r="A2" s="3" t="inlineStr">
        <is>
          <t>Ordem obrigatória: Wild Protector → The Natural Order → The Catha's Balance → Idolatry. Texto dos nós conforme PoE2DB.</t>
        </is>
      </c>
      <c r="B2" s="2" t="n"/>
      <c r="C2" s="2" t="n"/>
      <c r="D2" s="2" t="n"/>
      <c r="E2" s="2" t="n"/>
      <c r="F2" s="2" t="n"/>
    </row>
    <row r="3" ht="22" customHeight="1">
      <c r="A3" s="15" t="inlineStr">
        <is>
          <t>#</t>
        </is>
      </c>
      <c r="B3" s="15" t="inlineStr">
        <is>
          <t>Nó</t>
        </is>
      </c>
      <c r="C3" s="15" t="inlineStr">
        <is>
          <t>Quando</t>
        </is>
      </c>
      <c r="D3" s="15" t="inlineStr">
        <is>
          <t>O que faz</t>
        </is>
      </c>
      <c r="E3" s="15" t="inlineStr">
        <is>
          <t>Por que</t>
        </is>
      </c>
      <c r="F3" s="15" t="inlineStr"/>
    </row>
    <row r="4" ht="60" customHeight="1">
      <c r="A4" s="23" t="n">
        <v>1</v>
      </c>
      <c r="B4" s="50" t="inlineStr">
        <is>
          <t>Wild Protector</t>
        </is>
      </c>
      <c r="C4" s="19" t="inlineStr">
        <is>
          <t>Ato 2 · Trial of the Sekhemas</t>
        </is>
      </c>
      <c r="D4" s="19" t="inlineStr">
        <is>
          <t>Invoca o Bear Spirit: salta nos inimigos com Maim, faz leech de vida no slam e dá Intimidate. Não conta no limite de companions.</t>
        </is>
      </c>
      <c r="E4" s="19" t="inlineStr">
        <is>
          <t>Tank grátis na campanha e base de Presence.</t>
        </is>
      </c>
      <c r="F4" s="19" t="inlineStr"/>
    </row>
    <row r="5" ht="60" customHeight="1">
      <c r="A5" s="23" t="n">
        <v>2</v>
      </c>
      <c r="B5" s="50" t="inlineStr">
        <is>
          <t>The Natural Order</t>
        </is>
      </c>
      <c r="C5" s="19" t="inlineStr">
        <is>
          <t>Ato 3 · Trial of Chaos</t>
        </is>
      </c>
      <c r="D5" s="19" t="inlineStr">
        <is>
          <t>Tame Beast pode capturar Unique Beasts (1 por vez). Unique tamed ganha 30% movement speed e é possuído por Azmeri Spirits aleatórios a cada 20s.</t>
        </is>
      </c>
      <c r="E5" s="19" t="inlineStr">
        <is>
          <t>Libera o Mighty Silverfist — nenhuma outra classe usa.</t>
        </is>
      </c>
      <c r="F5" s="19" t="inlineStr"/>
    </row>
    <row r="6" ht="60" customHeight="1">
      <c r="A6" s="23" t="n">
        <v>3</v>
      </c>
      <c r="B6" s="50" t="inlineStr">
        <is>
          <t>The Catha's Balance</t>
        </is>
      </c>
      <c r="C6" s="19" t="inlineStr">
        <is>
          <t>Atlas · Trial nível 60+</t>
        </is>
      </c>
      <c r="D6" s="19" t="inlineStr">
        <is>
          <t>Companions causam dano de ataque adicional igual a 60% do dano da sua arma main-hand.</t>
        </is>
      </c>
      <c r="E6" s="19" t="inlineStr">
        <is>
          <t>Maior salto de dano da build. Arma de maior dano por golpe vence, independente de attack speed.</t>
        </is>
      </c>
      <c r="F6" s="19" t="inlineStr"/>
    </row>
    <row r="7" ht="60" customHeight="1">
      <c r="A7" s="23" t="n">
        <v>4</v>
      </c>
      <c r="B7" s="50" t="inlineStr">
        <is>
          <t>Idolatry</t>
        </is>
      </c>
      <c r="C7" s="19" t="inlineStr">
        <is>
          <t>Atlas · Trial nível 75+</t>
        </is>
      </c>
      <c r="D7" s="19" t="inlineStr">
        <is>
          <t>+10% dano de companions e +2% reservation efficiency por Idol equipado; -4% em todas as resists por Augment que não é Idol.</t>
        </is>
      </c>
      <c r="E7" s="19" t="inlineStr">
        <is>
          <t>Escala dano e Spirit com Idols. Pegue só quando não depender de runas/soul cores para resist.</t>
        </is>
      </c>
      <c r="F7" s="19" t="inlineStr"/>
    </row>
    <row r="9" ht="22" customHeight="1">
      <c r="A9" s="13" t="inlineStr">
        <is>
          <t>PASSIVAS-CHAVE</t>
        </is>
      </c>
      <c r="B9" s="14" t="n"/>
      <c r="C9" s="14" t="n"/>
      <c r="D9" s="14" t="n"/>
      <c r="E9" s="14" t="n"/>
      <c r="F9" s="14" t="n"/>
    </row>
    <row r="10" ht="22" customHeight="1">
      <c r="A10" s="15" t="inlineStr"/>
      <c r="B10" s="15" t="inlineStr">
        <is>
          <t>Nó</t>
        </is>
      </c>
      <c r="C10" s="15" t="inlineStr">
        <is>
          <t>Tipo</t>
        </is>
      </c>
      <c r="D10" s="15" t="inlineStr">
        <is>
          <t>O que faz</t>
        </is>
      </c>
      <c r="E10" s="15" t="inlineStr">
        <is>
          <t>Por que</t>
        </is>
      </c>
      <c r="F10" s="15" t="inlineStr">
        <is>
          <t>Quando</t>
        </is>
      </c>
    </row>
    <row r="11" ht="44" customHeight="1">
      <c r="A11" s="19" t="inlineStr"/>
      <c r="B11" s="18" t="inlineStr">
        <is>
          <t>Trusted Kinship</t>
        </is>
      </c>
      <c r="C11" s="19" t="inlineStr">
        <is>
          <t>Keystone</t>
        </is>
      </c>
      <c r="D11" s="19" t="inlineStr">
        <is>
          <t>2 companions de tipos diferentes; 30% more eficiência de reserva de Companion; 20% less para as demais.</t>
        </is>
      </c>
      <c r="E11" s="19" t="inlineStr">
        <is>
          <t>Mesmo com o Effigy, os 30% more de eficiência continuam valendo.</t>
        </is>
      </c>
      <c r="F11" s="19" t="inlineStr">
        <is>
          <t>Ato 3 → sempre</t>
        </is>
      </c>
    </row>
    <row r="12" ht="44" customHeight="1">
      <c r="A12" s="19" t="inlineStr"/>
      <c r="B12" s="18" t="inlineStr">
        <is>
          <t>Giant's Blood</t>
        </is>
      </c>
      <c r="C12" s="19" t="inlineStr">
        <is>
          <t>Keystone</t>
        </is>
      </c>
      <c r="D12" s="19" t="inlineStr">
        <is>
          <t>Maças/machados/espadas de 2 mãos em uma mão; triplica requisitos de atributo das armas.</t>
        </is>
      </c>
      <c r="E12" s="19" t="inlineStr">
        <is>
          <t>Chober Chaber + sceptre ao mesmo tempo.</t>
        </is>
      </c>
      <c r="F12" s="19" t="inlineStr">
        <is>
          <t>Treefingers no Ato 3 → árvore no endgame</t>
        </is>
      </c>
    </row>
    <row r="13" ht="44" customHeight="1">
      <c r="A13" s="19" t="inlineStr"/>
      <c r="B13" s="18" t="inlineStr">
        <is>
          <t>Easy Going</t>
        </is>
      </c>
      <c r="C13" s="19" t="inlineStr">
        <is>
          <t>Notable</t>
        </is>
      </c>
      <c r="D13" s="19" t="inlineStr">
        <is>
          <t>25% increased reservation efficiency de Companion.</t>
        </is>
      </c>
      <c r="E13" s="19" t="inlineStr">
        <is>
          <t>Mais companions no mesmo Spirit.</t>
        </is>
      </c>
      <c r="F13" s="19" t="inlineStr">
        <is>
          <t>Ato 4</t>
        </is>
      </c>
    </row>
    <row r="14" ht="44" customHeight="1">
      <c r="A14" s="19" t="inlineStr"/>
      <c r="B14" s="18" t="inlineStr">
        <is>
          <t>Polymathy</t>
        </is>
      </c>
      <c r="C14" s="19" t="inlineStr">
        <is>
          <t>Notable</t>
        </is>
      </c>
      <c r="D14" s="19" t="inlineStr">
        <is>
          <t>Atributos.</t>
        </is>
      </c>
      <c r="E14" s="19" t="inlineStr">
        <is>
          <t>Ajuda com os requisitos triplicados.</t>
        </is>
      </c>
      <c r="F14" s="19" t="inlineStr">
        <is>
          <t>Giant's Blood</t>
        </is>
      </c>
    </row>
    <row r="15" ht="44" customHeight="1">
      <c r="A15" s="19" t="inlineStr"/>
      <c r="B15" s="18" t="inlineStr">
        <is>
          <t>Mind Over Matter</t>
        </is>
      </c>
      <c r="C15" s="19" t="inlineStr">
        <is>
          <t>Keystone</t>
        </is>
      </c>
      <c r="D15" s="19" t="inlineStr">
        <is>
          <t>Todo dano sai da mana antes da vida; 50% less recuperação de mana.</t>
        </is>
      </c>
      <c r="E15" s="19" t="inlineStr">
        <is>
          <t>Com +100 mana da Chober e Lavianga's Spirits vira uma camada de defesa enorme.</t>
        </is>
      </c>
      <c r="F15" s="19" t="inlineStr">
        <is>
          <t>Endgame (nv 90+)</t>
        </is>
      </c>
    </row>
    <row r="17" ht="22" customHeight="1">
      <c r="A17" s="13" t="inlineStr">
        <is>
          <t>ÁRVORE POR ETAPA</t>
        </is>
      </c>
      <c r="B17" s="14" t="n"/>
      <c r="C17" s="14" t="n"/>
      <c r="D17" s="14" t="n"/>
      <c r="E17" s="14" t="n"/>
      <c r="F17" s="14" t="n"/>
    </row>
    <row r="18" ht="22" customHeight="1">
      <c r="A18" s="15" t="inlineStr">
        <is>
          <t>Nível</t>
        </is>
      </c>
      <c r="B18" s="15" t="inlineStr">
        <is>
          <t>Foco</t>
        </is>
      </c>
      <c r="C18" s="15" t="inlineStr">
        <is>
          <t>Dano</t>
        </is>
      </c>
      <c r="D18" s="15" t="inlineStr">
        <is>
          <t>Defesa</t>
        </is>
      </c>
      <c r="E18" s="15" t="inlineStr">
        <is>
          <t>Spirit</t>
        </is>
      </c>
      <c r="F18" s="15" t="inlineStr">
        <is>
          <t>Não faça</t>
        </is>
      </c>
    </row>
    <row r="19" ht="36" customHeight="1">
      <c r="A19" s="19" t="inlineStr">
        <is>
          <t>1–30</t>
        </is>
      </c>
      <c r="B19" s="19" t="inlineStr">
        <is>
          <t>Twister/projétil</t>
        </is>
      </c>
      <c r="C19" s="19" t="inlineStr">
        <is>
          <t>Twister</t>
        </is>
      </c>
      <c r="D19" s="19" t="inlineStr">
        <is>
          <t>Vida + Evasion</t>
        </is>
      </c>
      <c r="E19" s="19" t="inlineStr">
        <is>
          <t>—</t>
        </is>
      </c>
      <c r="F19" s="19" t="inlineStr">
        <is>
          <t>Minion cedo demais</t>
        </is>
      </c>
    </row>
    <row r="20" ht="36" customHeight="1">
      <c r="A20" s="19" t="inlineStr">
        <is>
          <t>31–45</t>
        </is>
      </c>
      <c r="B20" s="19" t="inlineStr">
        <is>
          <t>Trusted Kinship + Bonds (Mamba, Cat) + Unspoken Bond</t>
        </is>
      </c>
      <c r="C20" s="19" t="inlineStr">
        <is>
          <t>Macaco</t>
        </is>
      </c>
      <c r="D20" s="19" t="inlineStr">
        <is>
          <t>Blur, Catlike Agility, Escape Velocity</t>
        </is>
      </c>
      <c r="E20" s="19" t="inlineStr">
        <is>
          <t>Trusted Kinship</t>
        </is>
      </c>
      <c r="F20" s="19" t="inlineStr">
        <is>
          <t>Nós de ataque</t>
        </is>
      </c>
    </row>
    <row r="21" ht="36" customHeight="1">
      <c r="A21" s="19" t="inlineStr">
        <is>
          <t>46–64</t>
        </is>
      </c>
      <c r="B21" s="19" t="inlineStr">
        <is>
          <t>Easy Going, Inspiring Ally, Bond of the Wolf/Owl</t>
        </is>
      </c>
      <c r="C21" s="19" t="inlineStr">
        <is>
          <t>Macaco + Muster</t>
        </is>
      </c>
      <c r="D21" s="19" t="inlineStr">
        <is>
          <t>Evasion</t>
        </is>
      </c>
      <c r="E21" s="19" t="inlineStr">
        <is>
          <t>Easy Going</t>
        </is>
      </c>
      <c r="F21" s="19" t="inlineStr">
        <is>
          <t>Sacrificar resists</t>
        </is>
      </c>
    </row>
    <row r="22" ht="36" customHeight="1">
      <c r="A22" s="19" t="inlineStr">
        <is>
          <t>65–77</t>
        </is>
      </c>
      <c r="B22" s="19" t="inlineStr">
        <is>
          <t>Sturdy Ally, Captivating Companionship, Sic 'Em, Howling Primate</t>
        </is>
      </c>
      <c r="C22" s="19" t="inlineStr">
        <is>
          <t>Catha + Chober</t>
        </is>
      </c>
      <c r="D22" s="19" t="inlineStr">
        <is>
          <t>Enhanced Reflexes</t>
        </is>
      </c>
      <c r="E22" s="19" t="inlineStr">
        <is>
          <t>Mais companions</t>
        </is>
      </c>
      <c r="F22" s="19" t="inlineStr">
        <is>
          <t>Julgar arma por DPS</t>
        </is>
      </c>
    </row>
    <row r="23" ht="36" customHeight="1">
      <c r="A23" s="19" t="inlineStr">
        <is>
          <t>78–89</t>
        </is>
      </c>
      <c r="B23" s="19" t="inlineStr">
        <is>
          <t>Giant's Blood, Polymathy, Deflection, Long Distance Relationship</t>
        </is>
      </c>
      <c r="C23" s="19" t="inlineStr">
        <is>
          <t>Zekoa + Azmerian Wolf</t>
        </is>
      </c>
      <c r="D23" s="19" t="inlineStr">
        <is>
          <t>Enduring/Avoiding Deflection</t>
        </is>
      </c>
      <c r="E23" s="19" t="inlineStr">
        <is>
          <t>Effigy</t>
        </is>
      </c>
      <c r="F23" s="19" t="inlineStr">
        <is>
          <t>Tirar Trusted Kinship</t>
        </is>
      </c>
    </row>
    <row r="24" ht="36" customHeight="1">
      <c r="A24" s="19" t="inlineStr">
        <is>
          <t>90+</t>
        </is>
      </c>
      <c r="B24" s="19" t="inlineStr">
        <is>
          <t>Mind Over Matter, The Soul Meridian, Beastial Skin</t>
        </is>
      </c>
      <c r="C24" s="19" t="inlineStr">
        <is>
          <t>Zoo inteiro</t>
        </is>
      </c>
      <c r="D24" s="19" t="inlineStr">
        <is>
          <t>MoM</t>
        </is>
      </c>
      <c r="E24" s="19" t="inlineStr">
        <is>
          <t>Idolatry</t>
        </is>
      </c>
      <c r="F24" s="19" t="inlineStr">
        <is>
          <t>MoM sem mana</t>
        </is>
      </c>
    </row>
    <row r="26">
      <c r="A26" s="32" t="inlineStr">
        <is>
          <t>Dica: use o planner da Mobalytics (links em Fontes) para ver o caminho exato de cada ato — as cores Amarelo/Rosa/Verde são árvore principal / Weapon Set 1 / Weapon Set 2.</t>
        </is>
      </c>
    </row>
  </sheetData>
  <mergeCells count="5">
    <mergeCell ref="A2:F2"/>
    <mergeCell ref="A1:F1"/>
    <mergeCell ref="A9:F9"/>
    <mergeCell ref="A17:F17"/>
    <mergeCell ref="A26:F26"/>
  </mergeCells>
  <pageMargins left="0.75" right="0.75" top="1" bottom="1" header="0.5" footer="0.5"/>
</worksheet>
</file>

<file path=xl/worksheets/sheet10.xml><?xml version="1.0" encoding="utf-8"?>
<worksheet xmlns="http://schemas.openxmlformats.org/spreadsheetml/2006/main">
  <sheetPr>
    <tabColor rgb="00C98E2B"/>
    <outlinePr summaryBelow="1" summaryRight="1"/>
    <pageSetUpPr/>
  </sheetPr>
  <dimension ref="A1:F32"/>
  <sheetViews>
    <sheetView showGridLines="0" zoomScale="100" workbookViewId="0">
      <pane ySplit="3" topLeftCell="A4" activePane="bottomLeft" state="frozen"/>
      <selection pane="bottomLeft" activeCell="A1" sqref="A1"/>
    </sheetView>
  </sheetViews>
  <sheetFormatPr baseColWidth="8" defaultRowHeight="15"/>
  <cols>
    <col width="12" customWidth="1" min="1" max="1"/>
    <col width="22" customWidth="1" min="2" max="2"/>
    <col width="30" customWidth="1" min="3" max="3"/>
    <col width="40" customWidth="1" min="4" max="4"/>
    <col width="12" customWidth="1" min="5" max="5"/>
    <col width="12" customWidth="1" min="6" max="6"/>
  </cols>
  <sheetData>
    <row r="1" ht="34" customHeight="1">
      <c r="A1" s="1" t="inlineStr">
        <is>
          <t>RECOMPENSAS PERMANENTES — não pule</t>
        </is>
      </c>
      <c r="B1" s="2" t="n"/>
      <c r="C1" s="2" t="n"/>
      <c r="D1" s="2" t="n"/>
      <c r="E1" s="2" t="n"/>
      <c r="F1" s="2" t="n"/>
    </row>
    <row r="2" ht="30" customHeight="1">
      <c r="A2" s="3" t="inlineStr">
        <is>
          <t>+130 Spirit, resistências e weapon set points ao longo da campanha. Marque Feito.</t>
        </is>
      </c>
      <c r="B2" s="2" t="n"/>
      <c r="C2" s="2" t="n"/>
      <c r="D2" s="2" t="n"/>
      <c r="E2" s="2" t="n"/>
      <c r="F2" s="2" t="n"/>
    </row>
    <row r="3" ht="22" customHeight="1">
      <c r="A3" s="15" t="inlineStr">
        <is>
          <t>Ato</t>
        </is>
      </c>
      <c r="B3" s="15" t="inlineStr">
        <is>
          <t>Área</t>
        </is>
      </c>
      <c r="C3" s="15" t="inlineStr">
        <is>
          <t>Boss / Quest</t>
        </is>
      </c>
      <c r="D3" s="15" t="inlineStr">
        <is>
          <t>Recompensa</t>
        </is>
      </c>
      <c r="E3" s="15" t="inlineStr">
        <is>
          <t>Prioridade</t>
        </is>
      </c>
      <c r="F3" s="15" t="inlineStr">
        <is>
          <t>Status</t>
        </is>
      </c>
    </row>
    <row r="4">
      <c r="A4" s="19" t="inlineStr">
        <is>
          <t>Ato 1</t>
        </is>
      </c>
      <c r="B4" s="19" t="inlineStr">
        <is>
          <t>Clearfell</t>
        </is>
      </c>
      <c r="C4" s="19" t="inlineStr">
        <is>
          <t>Beira of the Rotten Pack</t>
        </is>
      </c>
      <c r="D4" s="19" t="inlineStr">
        <is>
          <t>+10% resistência a frio</t>
        </is>
      </c>
      <c r="E4" s="23" t="inlineStr">
        <is>
          <t>Alta</t>
        </is>
      </c>
      <c r="F4" s="23" t="inlineStr">
        <is>
          <t>Pendente</t>
        </is>
      </c>
    </row>
    <row r="5">
      <c r="A5" s="26" t="inlineStr">
        <is>
          <t>Ato 1</t>
        </is>
      </c>
      <c r="B5" s="26" t="inlineStr">
        <is>
          <t>Hunting Grounds</t>
        </is>
      </c>
      <c r="C5" s="26" t="inlineStr">
        <is>
          <t>The Crowbell</t>
        </is>
      </c>
      <c r="D5" s="26" t="inlineStr">
        <is>
          <t>2 Weapon Set Passive Points</t>
        </is>
      </c>
      <c r="E5" s="25" t="inlineStr">
        <is>
          <t>Alta</t>
        </is>
      </c>
      <c r="F5" s="25" t="inlineStr">
        <is>
          <t>Pendente</t>
        </is>
      </c>
    </row>
    <row r="6">
      <c r="A6" s="19" t="inlineStr">
        <is>
          <t>Ato 1</t>
        </is>
      </c>
      <c r="B6" s="19" t="inlineStr">
        <is>
          <t>Freythorn</t>
        </is>
      </c>
      <c r="C6" s="19" t="inlineStr">
        <is>
          <t>The King in the Mists</t>
        </is>
      </c>
      <c r="D6" s="19" t="inlineStr">
        <is>
          <t>+30 Spirit</t>
        </is>
      </c>
      <c r="E6" s="23" t="inlineStr">
        <is>
          <t>CRÍTICA</t>
        </is>
      </c>
      <c r="F6" s="23" t="inlineStr">
        <is>
          <t>Pendente</t>
        </is>
      </c>
    </row>
    <row r="7">
      <c r="A7" s="26" t="inlineStr">
        <is>
          <t>Ato 1</t>
        </is>
      </c>
      <c r="B7" s="26" t="inlineStr">
        <is>
          <t>Ogham Farmlands</t>
        </is>
      </c>
      <c r="C7" s="26" t="inlineStr">
        <is>
          <t>Una's Hut</t>
        </is>
      </c>
      <c r="D7" s="26" t="inlineStr">
        <is>
          <t>2 Weapon Set Passive Points</t>
        </is>
      </c>
      <c r="E7" s="25" t="inlineStr">
        <is>
          <t>Alta</t>
        </is>
      </c>
      <c r="F7" s="25" t="inlineStr">
        <is>
          <t>Pendente</t>
        </is>
      </c>
    </row>
    <row r="8">
      <c r="A8" s="19" t="inlineStr">
        <is>
          <t>Ato 1</t>
        </is>
      </c>
      <c r="B8" s="19" t="inlineStr">
        <is>
          <t>Ogham Manor</t>
        </is>
      </c>
      <c r="C8" s="19" t="inlineStr">
        <is>
          <t>Candlemass, the Living Rite</t>
        </is>
      </c>
      <c r="D8" s="19" t="inlineStr">
        <is>
          <t>+20 vida máxima</t>
        </is>
      </c>
      <c r="E8" s="23" t="inlineStr">
        <is>
          <t>Alta</t>
        </is>
      </c>
      <c r="F8" s="23" t="inlineStr">
        <is>
          <t>Pendente</t>
        </is>
      </c>
    </row>
    <row r="9">
      <c r="A9" s="26" t="inlineStr">
        <is>
          <t>Ato 2</t>
        </is>
      </c>
      <c r="B9" s="26" t="inlineStr">
        <is>
          <t>Keth</t>
        </is>
      </c>
      <c r="C9" s="26" t="inlineStr">
        <is>
          <t>Kabala, Constrictor Queen</t>
        </is>
      </c>
      <c r="D9" s="26" t="inlineStr">
        <is>
          <t>2 Weapon Set Passive Points</t>
        </is>
      </c>
      <c r="E9" s="25" t="inlineStr">
        <is>
          <t>Alta</t>
        </is>
      </c>
      <c r="F9" s="25" t="inlineStr">
        <is>
          <t>Pendente</t>
        </is>
      </c>
    </row>
    <row r="10">
      <c r="A10" s="19" t="inlineStr">
        <is>
          <t>Ato 2</t>
        </is>
      </c>
      <c r="B10" s="19" t="inlineStr">
        <is>
          <t>Valley of the Titans</t>
        </is>
      </c>
      <c r="C10" s="19" t="inlineStr">
        <is>
          <t>Medallion</t>
        </is>
      </c>
      <c r="D10" s="19" t="inlineStr">
        <is>
          <t>+1 Charm Slot e 30% charm charges</t>
        </is>
      </c>
      <c r="E10" s="23" t="inlineStr">
        <is>
          <t>Alta</t>
        </is>
      </c>
      <c r="F10" s="23" t="inlineStr">
        <is>
          <t>Pendente</t>
        </is>
      </c>
    </row>
    <row r="11">
      <c r="A11" s="26" t="inlineStr">
        <is>
          <t>Ato 2</t>
        </is>
      </c>
      <c r="B11" s="26" t="inlineStr">
        <is>
          <t>Deshar</t>
        </is>
      </c>
      <c r="C11" s="26" t="inlineStr">
        <is>
          <t>Final Letter</t>
        </is>
      </c>
      <c r="D11" s="26" t="inlineStr">
        <is>
          <t>2 Weapon Set Passive Points</t>
        </is>
      </c>
      <c r="E11" s="25" t="inlineStr">
        <is>
          <t>Alta</t>
        </is>
      </c>
      <c r="F11" s="25" t="inlineStr">
        <is>
          <t>Pendente</t>
        </is>
      </c>
    </row>
    <row r="12">
      <c r="A12" s="19" t="inlineStr">
        <is>
          <t>Ato 2</t>
        </is>
      </c>
      <c r="B12" s="19" t="inlineStr">
        <is>
          <t>Spires of Deshar</t>
        </is>
      </c>
      <c r="C12" s="19" t="inlineStr">
        <is>
          <t>Sisters of Garukhan</t>
        </is>
      </c>
      <c r="D12" s="19" t="inlineStr">
        <is>
          <t>+10% resistência a raio</t>
        </is>
      </c>
      <c r="E12" s="23" t="inlineStr">
        <is>
          <t>Alta</t>
        </is>
      </c>
      <c r="F12" s="23" t="inlineStr">
        <is>
          <t>Pendente</t>
        </is>
      </c>
    </row>
    <row r="13">
      <c r="A13" s="26" t="inlineStr">
        <is>
          <t>Ato 3</t>
        </is>
      </c>
      <c r="B13" s="26" t="inlineStr">
        <is>
          <t>Jungle Ruins</t>
        </is>
      </c>
      <c r="C13" s="26" t="inlineStr">
        <is>
          <t>Mighty Silverfist</t>
        </is>
      </c>
      <c r="D13" s="26" t="inlineStr">
        <is>
          <t>2 Weapon Set Points + alvo do Tame</t>
        </is>
      </c>
      <c r="E13" s="25" t="inlineStr">
        <is>
          <t>CRÍTICA</t>
        </is>
      </c>
      <c r="F13" s="25" t="inlineStr">
        <is>
          <t>Pendente</t>
        </is>
      </c>
    </row>
    <row r="14">
      <c r="A14" s="19" t="inlineStr">
        <is>
          <t>Ato 3</t>
        </is>
      </c>
      <c r="B14" s="19" t="inlineStr">
        <is>
          <t>Venom Crypts</t>
        </is>
      </c>
      <c r="C14" s="19" t="inlineStr">
        <is>
          <t>Venom Draught</t>
        </is>
      </c>
      <c r="D14" s="19" t="inlineStr">
        <is>
          <t>25% Stun Threshold</t>
        </is>
      </c>
      <c r="E14" s="23" t="inlineStr">
        <is>
          <t>Média</t>
        </is>
      </c>
      <c r="F14" s="23" t="inlineStr">
        <is>
          <t>Pendente</t>
        </is>
      </c>
    </row>
    <row r="15">
      <c r="A15" s="26" t="inlineStr">
        <is>
          <t>Ato 3</t>
        </is>
      </c>
      <c r="B15" s="26" t="inlineStr">
        <is>
          <t>Jiquani's Machinarium</t>
        </is>
      </c>
      <c r="C15" s="26" t="inlineStr">
        <is>
          <t>Blackjaw, the Remnant</t>
        </is>
      </c>
      <c r="D15" s="26" t="inlineStr">
        <is>
          <t>+10% resistência a fogo</t>
        </is>
      </c>
      <c r="E15" s="25" t="inlineStr">
        <is>
          <t>Alta</t>
        </is>
      </c>
      <c r="F15" s="25" t="inlineStr">
        <is>
          <t>Pendente</t>
        </is>
      </c>
    </row>
    <row r="16">
      <c r="A16" s="19" t="inlineStr">
        <is>
          <t>Ato 3</t>
        </is>
      </c>
      <c r="B16" s="19" t="inlineStr">
        <is>
          <t>Azak Bog</t>
        </is>
      </c>
      <c r="C16" s="19" t="inlineStr">
        <is>
          <t>Ignagduk, the Bog Witch</t>
        </is>
      </c>
      <c r="D16" s="19" t="inlineStr">
        <is>
          <t>+30 Spirit</t>
        </is>
      </c>
      <c r="E16" s="23" t="inlineStr">
        <is>
          <t>CRÍTICA</t>
        </is>
      </c>
      <c r="F16" s="23" t="inlineStr">
        <is>
          <t>Pendente</t>
        </is>
      </c>
    </row>
    <row r="17">
      <c r="A17" s="26" t="inlineStr">
        <is>
          <t>Ato 3</t>
        </is>
      </c>
      <c r="B17" s="26" t="inlineStr">
        <is>
          <t>Molten Vault</t>
        </is>
      </c>
      <c r="C17" s="26" t="inlineStr">
        <is>
          <t>The Molten Vault</t>
        </is>
      </c>
      <c r="D17" s="26" t="inlineStr">
        <is>
          <t>Reforging Bench</t>
        </is>
      </c>
      <c r="E17" s="25" t="inlineStr">
        <is>
          <t>Média</t>
        </is>
      </c>
      <c r="F17" s="25" t="inlineStr">
        <is>
          <t>Pendente</t>
        </is>
      </c>
    </row>
    <row r="18">
      <c r="A18" s="19" t="inlineStr">
        <is>
          <t>Ato 3</t>
        </is>
      </c>
      <c r="B18" s="19" t="inlineStr">
        <is>
          <t>Aggorat</t>
        </is>
      </c>
      <c r="C18" s="19" t="inlineStr">
        <is>
          <t>Blood Sacrifice</t>
        </is>
      </c>
      <c r="D18" s="19" t="inlineStr">
        <is>
          <t>2 Weapon Set Passive Points</t>
        </is>
      </c>
      <c r="E18" s="23" t="inlineStr">
        <is>
          <t>Alta</t>
        </is>
      </c>
      <c r="F18" s="23" t="inlineStr">
        <is>
          <t>Pendente</t>
        </is>
      </c>
    </row>
    <row r="19">
      <c r="A19" s="26" t="inlineStr">
        <is>
          <t>Ato 4</t>
        </is>
      </c>
      <c r="B19" s="26" t="inlineStr">
        <is>
          <t>Journey's End</t>
        </is>
      </c>
      <c r="C19" s="26" t="inlineStr">
        <is>
          <t>Captain Hartlin</t>
        </is>
      </c>
      <c r="D19" s="26" t="inlineStr">
        <is>
          <t>2 Weapon Set Points + Skill Gem lv13</t>
        </is>
      </c>
      <c r="E19" s="25" t="inlineStr">
        <is>
          <t>Alta</t>
        </is>
      </c>
      <c r="F19" s="25" t="inlineStr">
        <is>
          <t>Pendente</t>
        </is>
      </c>
    </row>
    <row r="20">
      <c r="A20" s="19" t="inlineStr">
        <is>
          <t>Ato 4</t>
        </is>
      </c>
      <c r="B20" s="19" t="inlineStr">
        <is>
          <t>Eye of Hinekora</t>
        </is>
      </c>
      <c r="C20" s="19" t="inlineStr">
        <is>
          <t>Navali's Rest</t>
        </is>
      </c>
      <c r="D20" s="19" t="inlineStr">
        <is>
          <t>5% mana máxima</t>
        </is>
      </c>
      <c r="E20" s="23" t="inlineStr">
        <is>
          <t>Média</t>
        </is>
      </c>
      <c r="F20" s="23" t="inlineStr">
        <is>
          <t>Pendente</t>
        </is>
      </c>
    </row>
    <row r="21">
      <c r="A21" s="26" t="inlineStr">
        <is>
          <t>Ato 4</t>
        </is>
      </c>
      <c r="B21" s="26" t="inlineStr">
        <is>
          <t>Halls of the Dead</t>
        </is>
      </c>
      <c r="C21" s="26" t="inlineStr">
        <is>
          <t>Yama The White</t>
        </is>
      </c>
      <c r="D21" s="26" t="inlineStr">
        <is>
          <t>2 Weapon Set Passive Points</t>
        </is>
      </c>
      <c r="E21" s="25" t="inlineStr">
        <is>
          <t>Alta</t>
        </is>
      </c>
      <c r="F21" s="25" t="inlineStr">
        <is>
          <t>Pendente</t>
        </is>
      </c>
    </row>
    <row r="22">
      <c r="A22" s="19" t="inlineStr">
        <is>
          <t>Ato 4</t>
        </is>
      </c>
      <c r="B22" s="19" t="inlineStr">
        <is>
          <t>Halls of the Dead</t>
        </is>
      </c>
      <c r="C22" s="19" t="inlineStr">
        <is>
          <t>Tawhoa's Test</t>
        </is>
      </c>
      <c r="D22" s="19" t="inlineStr">
        <is>
          <t>+5% resistência a raio</t>
        </is>
      </c>
      <c r="E22" s="23" t="inlineStr">
        <is>
          <t>Alta</t>
        </is>
      </c>
      <c r="F22" s="23" t="inlineStr">
        <is>
          <t>Pendente</t>
        </is>
      </c>
    </row>
    <row r="23">
      <c r="A23" s="26" t="inlineStr">
        <is>
          <t>Ato 4</t>
        </is>
      </c>
      <c r="B23" s="26" t="inlineStr">
        <is>
          <t>Abandoned Prison</t>
        </is>
      </c>
      <c r="C23" s="26" t="inlineStr">
        <is>
          <t>Goddess of Justice</t>
        </is>
      </c>
      <c r="D23" s="26" t="inlineStr">
        <is>
          <t>30% recuperação de vida por flask</t>
        </is>
      </c>
      <c r="E23" s="25" t="inlineStr">
        <is>
          <t>Média</t>
        </is>
      </c>
      <c r="F23" s="25" t="inlineStr">
        <is>
          <t>Pendente</t>
        </is>
      </c>
    </row>
    <row r="24">
      <c r="A24" s="19" t="inlineStr">
        <is>
          <t>Ato 4</t>
        </is>
      </c>
      <c r="B24" s="19" t="inlineStr">
        <is>
          <t>Halls of the Dead</t>
        </is>
      </c>
      <c r="C24" s="19" t="inlineStr">
        <is>
          <t>Tasalio's Test</t>
        </is>
      </c>
      <c r="D24" s="19" t="inlineStr">
        <is>
          <t>+5% resistência a frio</t>
        </is>
      </c>
      <c r="E24" s="23" t="inlineStr">
        <is>
          <t>Alta</t>
        </is>
      </c>
      <c r="F24" s="23" t="inlineStr">
        <is>
          <t>Pendente</t>
        </is>
      </c>
    </row>
    <row r="25">
      <c r="A25" s="26" t="inlineStr">
        <is>
          <t>Ato 4</t>
        </is>
      </c>
      <c r="B25" s="26" t="inlineStr">
        <is>
          <t>Halls of the Dead</t>
        </is>
      </c>
      <c r="C25" s="26" t="inlineStr">
        <is>
          <t>Ngamahu's Test</t>
        </is>
      </c>
      <c r="D25" s="26" t="inlineStr">
        <is>
          <t>+5% resistência a fogo</t>
        </is>
      </c>
      <c r="E25" s="25" t="inlineStr">
        <is>
          <t>Alta</t>
        </is>
      </c>
      <c r="F25" s="25" t="inlineStr">
        <is>
          <t>Pendente</t>
        </is>
      </c>
    </row>
    <row r="26">
      <c r="A26" s="19" t="inlineStr">
        <is>
          <t>Ato 4</t>
        </is>
      </c>
      <c r="B26" s="19" t="inlineStr">
        <is>
          <t>Halls of the Dead</t>
        </is>
      </c>
      <c r="C26" s="19" t="inlineStr">
        <is>
          <t>Tribal Medicine</t>
        </is>
      </c>
      <c r="D26" s="19" t="inlineStr">
        <is>
          <t>ESCOLHA: +12% da Evasion como Deflection</t>
        </is>
      </c>
      <c r="E26" s="23" t="inlineStr">
        <is>
          <t>CRÍTICA</t>
        </is>
      </c>
      <c r="F26" s="23" t="inlineStr">
        <is>
          <t>Pendente</t>
        </is>
      </c>
    </row>
    <row r="27">
      <c r="A27" s="26" t="inlineStr">
        <is>
          <t>Interlúdio</t>
        </is>
      </c>
      <c r="B27" s="26" t="inlineStr">
        <is>
          <t>Wolvenhold</t>
        </is>
      </c>
      <c r="C27" s="26" t="inlineStr">
        <is>
          <t>Oswin, the Dread Warden</t>
        </is>
      </c>
      <c r="D27" s="26" t="inlineStr">
        <is>
          <t>2 Weapon Set Passive Points</t>
        </is>
      </c>
      <c r="E27" s="25" t="inlineStr">
        <is>
          <t>Alta</t>
        </is>
      </c>
      <c r="F27" s="25" t="inlineStr">
        <is>
          <t>Pendente</t>
        </is>
      </c>
    </row>
    <row r="28">
      <c r="A28" s="19" t="inlineStr">
        <is>
          <t>Interlúdio</t>
        </is>
      </c>
      <c r="B28" s="19" t="inlineStr">
        <is>
          <t>Khari Crossing</t>
        </is>
      </c>
      <c r="C28" s="19" t="inlineStr">
        <is>
          <t>Akthi and Anundr</t>
        </is>
      </c>
      <c r="D28" s="19" t="inlineStr">
        <is>
          <t>2 Weapon Set Passive Points</t>
        </is>
      </c>
      <c r="E28" s="23" t="inlineStr">
        <is>
          <t>Alta</t>
        </is>
      </c>
      <c r="F28" s="23" t="inlineStr">
        <is>
          <t>Pendente</t>
        </is>
      </c>
    </row>
    <row r="29">
      <c r="A29" s="26" t="inlineStr">
        <is>
          <t>Interlúdio</t>
        </is>
      </c>
      <c r="B29" s="26" t="inlineStr">
        <is>
          <t>Khari Crossing</t>
        </is>
      </c>
      <c r="C29" s="26" t="inlineStr">
        <is>
          <t>Molten Shrine</t>
        </is>
      </c>
      <c r="D29" s="26" t="inlineStr">
        <is>
          <t>5% vida máxima</t>
        </is>
      </c>
      <c r="E29" s="25" t="inlineStr">
        <is>
          <t>CRÍTICA</t>
        </is>
      </c>
      <c r="F29" s="25" t="inlineStr">
        <is>
          <t>Pendente</t>
        </is>
      </c>
    </row>
    <row r="30">
      <c r="A30" s="19" t="inlineStr">
        <is>
          <t>Interlúdio</t>
        </is>
      </c>
      <c r="B30" s="19" t="inlineStr">
        <is>
          <t>Qimah</t>
        </is>
      </c>
      <c r="C30" s="19" t="inlineStr">
        <is>
          <t>Tabana's Pillar</t>
        </is>
      </c>
      <c r="D30" s="19" t="inlineStr">
        <is>
          <t>+5% todas as resistências elementais</t>
        </is>
      </c>
      <c r="E30" s="23" t="inlineStr">
        <is>
          <t>CRÍTICA</t>
        </is>
      </c>
      <c r="F30" s="23" t="inlineStr">
        <is>
          <t>Pendente</t>
        </is>
      </c>
    </row>
    <row r="31">
      <c r="A31" s="26" t="inlineStr">
        <is>
          <t>Interlúdio</t>
        </is>
      </c>
      <c r="B31" s="26" t="inlineStr">
        <is>
          <t>Kriar Village</t>
        </is>
      </c>
      <c r="C31" s="26" t="inlineStr">
        <is>
          <t>Lythara, the Wayward Spear</t>
        </is>
      </c>
      <c r="D31" s="26" t="inlineStr">
        <is>
          <t>+40 Spirit</t>
        </is>
      </c>
      <c r="E31" s="25" t="inlineStr">
        <is>
          <t>CRÍTICA</t>
        </is>
      </c>
      <c r="F31" s="25" t="inlineStr">
        <is>
          <t>Pendente</t>
        </is>
      </c>
    </row>
    <row r="32">
      <c r="A32" s="19" t="inlineStr">
        <is>
          <t>Interlúdio</t>
        </is>
      </c>
      <c r="B32" s="19" t="inlineStr">
        <is>
          <t>Howling Caves</t>
        </is>
      </c>
      <c r="C32" s="19" t="inlineStr">
        <is>
          <t>The Abominable Yeti</t>
        </is>
      </c>
      <c r="D32" s="19" t="inlineStr">
        <is>
          <t>2 Weapon Set Passive Points</t>
        </is>
      </c>
      <c r="E32" s="23" t="inlineStr">
        <is>
          <t>Alta</t>
        </is>
      </c>
      <c r="F32" s="23" t="inlineStr">
        <is>
          <t>Pendente</t>
        </is>
      </c>
    </row>
  </sheetData>
  <autoFilter ref="A3:F32"/>
  <mergeCells count="2">
    <mergeCell ref="A2:F2"/>
    <mergeCell ref="A1:F1"/>
  </mergeCells>
  <conditionalFormatting sqref="E4:E32">
    <cfRule type="cellIs" priority="1" operator="equal" dxfId="3">
      <formula>"CRÍTICA"</formula>
    </cfRule>
  </conditionalFormatting>
  <conditionalFormatting sqref="F4:F32">
    <cfRule type="cellIs" priority="2" operator="equal" dxfId="1">
      <formula>"Feito"</formula>
    </cfRule>
  </conditionalFormatting>
  <conditionalFormatting sqref="A4:D32">
    <cfRule type="expression" priority="3" dxfId="4">
      <formula>$F4="Feito"</formula>
    </cfRule>
  </conditionalFormatting>
  <pageMargins left="0.75" right="0.75" top="1" bottom="1" header="0.5" footer="0.5"/>
</worksheet>
</file>

<file path=xl/worksheets/sheet11.xml><?xml version="1.0" encoding="utf-8"?>
<worksheet xmlns="http://schemas.openxmlformats.org/spreadsheetml/2006/main">
  <sheetPr>
    <tabColor rgb="00B84A3A"/>
    <outlinePr summaryBelow="1" summaryRight="1"/>
    <pageSetUpPr/>
  </sheetPr>
  <dimension ref="A1:D39"/>
  <sheetViews>
    <sheetView showGridLines="0" zoomScale="100" workbookViewId="0">
      <pane ySplit="3" topLeftCell="A4" activePane="bottomLeft" state="frozen"/>
      <selection pane="bottomLeft" activeCell="A1" sqref="A1"/>
    </sheetView>
  </sheetViews>
  <sheetFormatPr baseColWidth="8" defaultRowHeight="15"/>
  <cols>
    <col width="14" customWidth="1" min="1" max="1"/>
    <col width="11" customWidth="1" min="2" max="2"/>
    <col width="32" customWidth="1" min="3" max="3"/>
    <col width="90" customWidth="1" min="4" max="4"/>
  </cols>
  <sheetData>
    <row r="1" ht="34" customHeight="1">
      <c r="A1" s="1" t="inlineStr">
        <is>
          <t>TRICKS DE PROFISSIONAL</t>
        </is>
      </c>
      <c r="B1" s="2" t="n"/>
      <c r="C1" s="2" t="n"/>
      <c r="D1" s="2" t="n"/>
    </row>
    <row r="2" ht="30" customHeight="1">
      <c r="A2" s="3" t="inlineStr">
        <is>
          <t>O que streamers e jogadores de topo fazem para ganhar tempo, dano e segurança.</t>
        </is>
      </c>
      <c r="B2" s="2" t="n"/>
      <c r="C2" s="2" t="n"/>
      <c r="D2" s="2" t="n"/>
    </row>
    <row r="3" ht="22" customHeight="1">
      <c r="A3" s="15" t="inlineStr">
        <is>
          <t>Categoria</t>
        </is>
      </c>
      <c r="B3" s="15" t="inlineStr">
        <is>
          <t>Nível</t>
        </is>
      </c>
      <c r="C3" s="15" t="inlineStr">
        <is>
          <t>Trick</t>
        </is>
      </c>
      <c r="D3" s="15" t="inlineStr">
        <is>
          <t>Como fazer</t>
        </is>
      </c>
    </row>
    <row r="4" ht="49" customHeight="1">
      <c r="A4" s="19" t="inlineStr">
        <is>
          <t>Captura</t>
        </is>
      </c>
      <c r="B4" s="23" t="inlineStr">
        <is>
          <t>Fácil</t>
        </is>
      </c>
      <c r="C4" s="18" t="inlineStr">
        <is>
          <t>Limite de companions</t>
        </is>
      </c>
      <c r="D4" s="19" t="inlineStr">
        <is>
          <t>Base: 1 companion. Trusted Kinship (keystone) ou Yriel's Fostering (body): 2 companions de TIPOS diferentes — não somam entre si. Sylvan's Effigy: qualquer número de tipos diferentes. O urso do Wild Protector não conta no limite.</t>
        </is>
      </c>
    </row>
    <row r="5" ht="79" customHeight="1">
      <c r="A5" s="19" t="inlineStr">
        <is>
          <t>Captura</t>
        </is>
      </c>
      <c r="B5" s="23" t="inlineStr">
        <is>
          <t>Médio</t>
        </is>
      </c>
      <c r="C5" s="18" t="inlineStr">
        <is>
          <t>Rota de aura bots do Mattjestic</t>
        </is>
      </c>
      <c r="D5" s="19" t="inlineStr">
        <is>
          <t>Antes do Sylvan's Effigy só cabe 1 beast de aura (limite de 2 companions com Trusted Kinship). 1) Ato 4 Whakapanu Island: essence de crabs na praia (Quill/Coconut Crab ~25%) até achar Haste Aura. 2) Ato 5 Ashen Forest: Swarming Wisp (21%) com qualquer aura T1 exceto Haste. 3) Ato 2 Vastiri Outskirts: Crag Leaper (23,1%). Guarde auras T1 diferentes e substitua crabs duplicados. Os beasts extras entram quando você equipar o Effigy.</t>
        </is>
      </c>
    </row>
    <row r="6" ht="34" customHeight="1">
      <c r="A6" s="19" t="inlineStr">
        <is>
          <t>Captura</t>
        </is>
      </c>
      <c r="B6" s="23" t="inlineStr">
        <is>
          <t>Fácil</t>
        </is>
      </c>
      <c r="C6" s="18" t="inlineStr">
        <is>
          <t>Haste não aparece em beasts muito rápidos</t>
        </is>
      </c>
      <c r="D6" s="19" t="inlineStr">
        <is>
          <t>Beasts com a tag very_fast_movement (ex.: Crag Leaper) nunca rolam Haste Aura. Procure Haste em crabs.</t>
        </is>
      </c>
    </row>
    <row r="7" ht="34" customHeight="1">
      <c r="A7" s="19" t="inlineStr">
        <is>
          <t>Dano</t>
        </is>
      </c>
      <c r="B7" s="23" t="inlineStr">
        <is>
          <t>Médio</t>
        </is>
      </c>
      <c r="C7" s="18" t="inlineStr">
        <is>
          <t>Conte os tipos de minion para o Muster</t>
        </is>
      </c>
      <c r="D7" s="19" t="inlineStr">
        <is>
          <t>Urso, macaco, cada beast diferente, Azmerian Wolf, Wolf Pack, Spirit Vessel e cada tipo de esqueleto contam como um tipo. Cada um soma 7% more dano nos companions com Muster.</t>
        </is>
      </c>
    </row>
    <row r="8" ht="34" customHeight="1">
      <c r="A8" s="19" t="inlineStr">
        <is>
          <t>Spirit</t>
        </is>
      </c>
      <c r="B8" s="23" t="inlineStr">
        <is>
          <t>Fácil</t>
        </is>
      </c>
      <c r="C8" s="18" t="inlineStr">
        <is>
          <t>Rattling Sceptre já traz o esqueleto</t>
        </is>
      </c>
      <c r="D8" s="19" t="inlineStr">
        <is>
          <t>O Rattling Sceptre é uma base comum (não unique) que já traz a gem Skeletal Warrior. Um único esqueleto basta como alvo do Pain Offering até o Effigy; o segundo só quando sobrar Spirit.</t>
        </is>
      </c>
    </row>
    <row r="9" ht="34" customHeight="1">
      <c r="A9" s="19" t="inlineStr">
        <is>
          <t>Economia</t>
        </is>
      </c>
      <c r="B9" s="23" t="inlineStr">
        <is>
          <t>Fácil</t>
        </is>
      </c>
      <c r="C9" s="18" t="inlineStr">
        <is>
          <t>The Vertex: confira a versão</t>
        </is>
      </c>
      <c r="D9" s="19" t="inlineStr">
        <is>
          <t>Só a versão com 'Equipment has no Attribute Requirements' libera a Chober Chaber com Giant's Blood. Filtre por esse mod no trade.</t>
        </is>
      </c>
    </row>
    <row r="10" ht="49" customHeight="1">
      <c r="A10" s="19" t="inlineStr">
        <is>
          <t>Dano</t>
        </is>
      </c>
      <c r="B10" s="23" t="inlineStr">
        <is>
          <t>Médio</t>
        </is>
      </c>
      <c r="C10" s="18" t="inlineStr">
        <is>
          <t>Pain Offering sem cair no boss</t>
        </is>
      </c>
      <c r="D10" s="19" t="inlineStr">
        <is>
          <t>Brutus' Brain no Pain Offering deixa o espinho imune a dano, então o buff não some quando o boss acerta a área. Danse Macabre precisa de 2 esqueletos vivos: só coloque quando o Spirit permitir o 2º esqueleto (Interlúdios). Depois do Effigy, o Skeletal Cleric com Sacrificial Lamb II vira o alvo.</t>
        </is>
      </c>
    </row>
    <row r="11" ht="49" customHeight="1">
      <c r="A11" s="19" t="inlineStr">
        <is>
          <t>Captura</t>
        </is>
      </c>
      <c r="B11" s="23" t="inlineStr">
        <is>
          <t>Fácil</t>
        </is>
      </c>
      <c r="C11" s="18" t="inlineStr">
        <is>
          <t>Como o Tame Beast funciona</t>
        </is>
      </c>
      <c r="D11" s="19" t="inlineStr">
        <is>
          <t>Use o Tame Beast num raro: ele fica envolto em wisps (Hinder) por ~8–12s. Mate enquanto os wisps estão nele para capturar. O beast guarda até 4 mods de monstro, então capture o que tem os mods que você quer.</t>
        </is>
      </c>
    </row>
    <row r="12" ht="34" customHeight="1">
      <c r="A12" s="19" t="inlineStr">
        <is>
          <t>Silverfist</t>
        </is>
      </c>
      <c r="B12" s="23" t="inlineStr">
        <is>
          <t>Médio</t>
        </is>
      </c>
      <c r="C12" s="18" t="inlineStr">
        <is>
          <t>Zekoa com 3+ mods</t>
        </is>
      </c>
      <c r="D12" s="19" t="inlineStr">
        <is>
          <t>Riverside ou Rupture + 1 Cruel Hegemony + 2 tablets raros com 'Unique Monsters have 1 additional Rare Modifier'. Ordem de mods: Extra Crits &gt; Hasted &gt; Extra Damage as Chaos/Physical &gt; Soul Eater.</t>
        </is>
      </c>
    </row>
    <row r="13" ht="49" customHeight="1">
      <c r="A13" s="19" t="inlineStr">
        <is>
          <t>Silverfist</t>
        </is>
      </c>
      <c r="B13" s="23" t="inlineStr">
        <is>
          <t>Avançado</t>
        </is>
      </c>
      <c r="C13" s="18" t="inlineStr">
        <is>
          <t>Reroll de mods morrendo (softcore)</t>
        </is>
      </c>
      <c r="D13" s="19" t="inlineStr">
        <is>
          <t>Com Doryani como Atlas Master e o nó Stitch the Flesh (revive extra), dá para morrer de propósito na luta e o boss volta com mods novos. Rituals perto de City biomes geram vários Zekoas no mesmo map.</t>
        </is>
      </c>
    </row>
    <row r="14" ht="49" customHeight="1">
      <c r="A14" s="19" t="inlineStr">
        <is>
          <t>Dano</t>
        </is>
      </c>
      <c r="B14" s="23" t="inlineStr">
        <is>
          <t>Médio</t>
        </is>
      </c>
      <c r="C14" s="18" t="inlineStr">
        <is>
          <t>Giant's Blood + The Vertex</t>
        </is>
      </c>
      <c r="D14" s="19" t="inlineStr">
        <is>
          <t>Treefingers dá Giant's Blood (maça 2 mãos + sceptre), mas triplica requisitos. The Vertex remove requisitos de gems (e, em algumas versões, do equipamento). Soul Core of Cholotl converte 40% para Dex.</t>
        </is>
      </c>
    </row>
    <row r="15" ht="34" customHeight="1">
      <c r="A15" s="19" t="inlineStr">
        <is>
          <t>Spirit</t>
        </is>
      </c>
      <c r="B15" s="23" t="inlineStr">
        <is>
          <t>Fácil</t>
        </is>
      </c>
      <c r="C15" s="18" t="inlineStr">
        <is>
          <t>Idols no Sylvan's Effigy</t>
        </is>
      </c>
      <c r="D15" s="19" t="inlineStr">
        <is>
          <t>Primate Idol (+40% dano de aliados) e Rabbit Idol (+15% Spirit) custam centavos. No capacete, Idol of Ralakesh dá +8% reservation efficiency de minions.</t>
        </is>
      </c>
    </row>
    <row r="16" ht="34" customHeight="1">
      <c r="A16" s="19" t="inlineStr">
        <is>
          <t>Spirit</t>
        </is>
      </c>
      <c r="B16" s="23" t="inlineStr">
        <is>
          <t>Fácil</t>
        </is>
      </c>
      <c r="C16" s="18" t="inlineStr">
        <is>
          <t>Alpha's Howl quando faltar Spirit</t>
        </is>
      </c>
      <c r="D16" s="19" t="inlineStr">
        <is>
          <t>+100 Spirit e Presence em dobro por ~0,4 div. Troque de volta por capacete com +Minion Skills quando o Spirit sobrar.</t>
        </is>
      </c>
    </row>
    <row r="17" ht="34" customHeight="1">
      <c r="A17" s="19" t="inlineStr">
        <is>
          <t>Dano</t>
        </is>
      </c>
      <c r="B17" s="23" t="inlineStr">
        <is>
          <t>Fácil</t>
        </is>
      </c>
      <c r="C17" s="18" t="inlineStr">
        <is>
          <t>Spirit Vessel do Forgotten Warden</t>
        </is>
      </c>
      <c r="D17" s="19" t="inlineStr">
        <is>
          <t>O body já concede Spirit Vessel nível 16. Soquete skills de Bear/Werewolf/Wyvern nele (ex.: Furious Slam): ganha 20% more dano por skill diferente.</t>
        </is>
      </c>
    </row>
    <row r="18" ht="34" customHeight="1">
      <c r="A18" s="19" t="inlineStr">
        <is>
          <t>Economia</t>
        </is>
      </c>
      <c r="B18" s="23" t="inlineStr">
        <is>
          <t>Fácil</t>
        </is>
      </c>
      <c r="C18" s="18" t="inlineStr">
        <is>
          <t>Compre uniques já runeforged</t>
        </is>
      </c>
      <c r="D18" s="19" t="inlineStr">
        <is>
          <t>Chober Chaber Runeforged sai ≈ 0,04 div: bem mais barato do que juntar Verisium para fazer você mesmo.</t>
        </is>
      </c>
    </row>
    <row r="19" ht="34" customHeight="1">
      <c r="A19" s="19" t="inlineStr">
        <is>
          <t>Defesa</t>
        </is>
      </c>
      <c r="B19" s="23" t="inlineStr">
        <is>
          <t>Médio</t>
        </is>
      </c>
      <c r="C19" s="18" t="inlineStr">
        <is>
          <t>Mind Over Matter + Lavianga's Spirits</t>
        </is>
      </c>
      <c r="D19" s="19" t="inlineStr">
        <is>
          <t>O flask de mana com efeito constante e a mana da Chober Chaber sustentam o MoM e os Commands do Azmerian Wolf.</t>
        </is>
      </c>
    </row>
    <row r="20" ht="34" customHeight="1">
      <c r="A20" s="19" t="inlineStr">
        <is>
          <t>Forbidden Rites</t>
        </is>
      </c>
      <c r="B20" s="23" t="inlineStr">
        <is>
          <t>Fácil</t>
        </is>
      </c>
      <c r="C20" s="18" t="inlineStr">
        <is>
          <t>Ritual em toda área da campanha</t>
        </is>
      </c>
      <c r="D20" s="19" t="inlineStr">
        <is>
          <t>Nesta liga cada área da campanha tem um Ritual que dá currency de crafting e equipamento. Faça todos no Ato 1–2: é o jeito mais barato de achar spear e botas com Movement Speed sem gastar no trade.</t>
        </is>
      </c>
    </row>
    <row r="21" ht="49" customHeight="1">
      <c r="A21" s="19" t="inlineStr">
        <is>
          <t>Forbidden Rites</t>
        </is>
      </c>
      <c r="B21" s="23" t="inlineStr">
        <is>
          <t>Médio</t>
        </is>
      </c>
      <c r="C21" s="18" t="inlineStr">
        <is>
          <t>Cluster de Ritual em bosses = uniques</t>
        </is>
      </c>
      <c r="D21" s="19" t="inlineStr">
        <is>
          <t>Duas vezes por ato (e uma por interlúdio) aparecem clusters de Ritual Effigies em cima do boss da área. O boss derrotado se soma à próxima área do cluster; no fim você gasta Tribute em Unique Items. Guarde Tribute para isso e procure Meginord's Girdle ou Tyranny's Grip.</t>
        </is>
      </c>
    </row>
    <row r="22" ht="34" customHeight="1">
      <c r="A22" s="19" t="inlineStr">
        <is>
          <t>Forbidden Rites</t>
        </is>
      </c>
      <c r="B22" s="23" t="inlineStr">
        <is>
          <t>Fácil</t>
        </is>
      </c>
      <c r="C22" s="18" t="inlineStr">
        <is>
          <t>Trial of Chaos com pausa</t>
        </is>
      </c>
      <c r="D22" s="19" t="inlineStr">
        <is>
          <t>No 0.5.5 dá para sair do Trial of Chaos e voltar depois na mesma sala, e cada sala tem baú de recompensa. Faça a 2ª Ascendência sem medo de perder a run se precisar parar para trade.</t>
        </is>
      </c>
    </row>
    <row r="23" ht="34" customHeight="1">
      <c r="A23" s="19" t="inlineStr">
        <is>
          <t>Forbidden Rites</t>
        </is>
      </c>
      <c r="B23" s="23" t="inlineStr">
        <is>
          <t>Médio</t>
        </is>
      </c>
      <c r="C23" s="18" t="inlineStr">
        <is>
          <t>Trials 65+ dropam Exceptional</t>
        </is>
      </c>
      <c r="D23" s="19" t="inlineStr">
        <is>
          <t>Trial of Sekhemas e Trial of Chaos ganham bônus a partir de área 65 (mais raros, qualidade e itens Exceptional). Rodar a 3ª e 4ª Ascendência nesse nível paga o próprio custo.</t>
        </is>
      </c>
    </row>
    <row r="24" ht="49" customHeight="1">
      <c r="A24" s="19" t="inlineStr">
        <is>
          <t>Forbidden Rites</t>
        </is>
      </c>
      <c r="B24" s="23" t="inlineStr">
        <is>
          <t>Médio</t>
        </is>
      </c>
      <c r="C24" s="18" t="inlineStr">
        <is>
          <t>Viridian Wildwood</t>
        </is>
      </c>
      <c r="D24" s="19" t="inlineStr">
        <is>
          <t>Sacred Blooms (recompensa de Ritual) adicionam o Viridian Wildwood a um grupo de maps. Siga as trilhas de Wisps: os monstros do map ficam mais fortes e mais recompensadores. Com o zoo em T15 isso é farm fácil.</t>
        </is>
      </c>
    </row>
    <row r="25" ht="49" customHeight="1">
      <c r="A25" s="19" t="inlineStr">
        <is>
          <t>Silverfist</t>
        </is>
      </c>
      <c r="B25" s="23" t="inlineStr">
        <is>
          <t>Fácil</t>
        </is>
      </c>
      <c r="C25" s="18" t="inlineStr">
        <is>
          <t>Não mate o macaco cedo</t>
        </is>
      </c>
      <c r="D25" s="19" t="inlineStr">
        <is>
          <t>Se chegar ao Jungle Ruins sem The Natural Order, não mate o Silverfist: siga, faça o Trial of Chaos e volte pelo waypoint para capturá-lo. Se já matou, sem pânico — ele é sempre o boss dos maps Riverside e Rupture.</t>
        </is>
      </c>
    </row>
    <row r="26" ht="49" customHeight="1">
      <c r="A26" s="19" t="inlineStr">
        <is>
          <t>Silverfist</t>
        </is>
      </c>
      <c r="B26" s="23" t="inlineStr">
        <is>
          <t>Avançado</t>
        </is>
      </c>
      <c r="C26" s="18" t="inlineStr">
        <is>
          <t>Silverfist com Extra Crits</t>
        </is>
      </c>
      <c r="D26" s="19" t="inlineStr">
        <is>
          <t>Use tablets com 'Unique monsters have 1 additional modifier' + Cruel Hegemony (e o nó do Jado com 20% de chance de dobrar mods de tablet) em Riverside/Rupture. Mais mods = mais chances de Extra Crits. Não precisa de map alto.</t>
        </is>
      </c>
    </row>
    <row r="27" ht="34" customHeight="1">
      <c r="A27" s="19" t="inlineStr">
        <is>
          <t>Silverfist</t>
        </is>
      </c>
      <c r="B27" s="23" t="inlineStr">
        <is>
          <t>Avançado</t>
        </is>
      </c>
      <c r="C27" s="18" t="inlineStr">
        <is>
          <t>Rite of the Nameless</t>
        </is>
      </c>
      <c r="D27" s="19" t="inlineStr">
        <is>
          <t>Começar o Rite of the Nameless (Ritual) em Riverside/Rupture coloca o macaco no último ritual de cada map — mais tentativas de mods. É perigoso: vá com defesa em dia.</t>
        </is>
      </c>
    </row>
    <row r="28" ht="34" customHeight="1">
      <c r="A28" s="19" t="inlineStr">
        <is>
          <t>Captura</t>
        </is>
      </c>
      <c r="B28" s="23" t="inlineStr">
        <is>
          <t>Fácil</t>
        </is>
      </c>
      <c r="C28" s="18" t="inlineStr">
        <is>
          <t>Pause no trade para ler mods</t>
        </is>
      </c>
      <c r="D28" s="19" t="inlineStr">
        <is>
          <t>Liga o atalho do Marketplace no botão do meio do mouse. Viu um beast raro? Aperta e o jogo pausa para você ler os mods com calma (não funciona em SSF).</t>
        </is>
      </c>
    </row>
    <row r="29" ht="34" customHeight="1">
      <c r="A29" s="19" t="inlineStr">
        <is>
          <t>Captura</t>
        </is>
      </c>
      <c r="B29" s="23" t="inlineStr">
        <is>
          <t>Fácil</t>
        </is>
      </c>
      <c r="C29" s="18" t="inlineStr">
        <is>
          <t>Caçar sem matar sem querer</t>
        </is>
      </c>
      <c r="D29" s="19" t="inlineStr">
        <is>
          <t>Quando for capturar um beast raro, desligue temporariamente os companions e o urso (Wild Protector) — senão eles matam o beast antes do Tame Beast pegar.</t>
        </is>
      </c>
    </row>
    <row r="30" ht="34" customHeight="1">
      <c r="A30" s="19" t="inlineStr">
        <is>
          <t>Captura</t>
        </is>
      </c>
      <c r="B30" s="23" t="inlineStr">
        <is>
          <t>Médio</t>
        </is>
      </c>
      <c r="C30" s="18" t="inlineStr">
        <is>
          <t>Ordem de auras</t>
        </is>
      </c>
      <c r="D30" s="19" t="inlineStr">
        <is>
          <t>Haste &gt; Physical Damage &gt; Energy Shield &gt; Heals Allies &gt; Hinder. Bônus: Always Shocks, Breaks Armour, Stuns, extra chaos/lightning ou crítico.</t>
        </is>
      </c>
    </row>
    <row r="31" ht="49" customHeight="1">
      <c r="A31" s="19" t="inlineStr">
        <is>
          <t>Dano</t>
        </is>
      </c>
      <c r="B31" s="23" t="inlineStr">
        <is>
          <t>Fácil</t>
        </is>
      </c>
      <c r="C31" s="18" t="inlineStr">
        <is>
          <t>Catha's Balance: dano por golpe</t>
        </is>
      </c>
      <c r="D31" s="19" t="inlineStr">
        <is>
          <t>Companions ganham 60% do dano da main-hand. Compare armas pelo dano mínimo–máximo por golpe, não pelo DPS: a Chober Chaber bate devagar, mas tem o maior dano por golpe e ainda dá +Minion Skills e Spirit.</t>
        </is>
      </c>
    </row>
    <row r="32" ht="34" customHeight="1">
      <c r="A32" s="19" t="inlineStr">
        <is>
          <t>Dano</t>
        </is>
      </c>
      <c r="B32" s="23" t="inlineStr">
        <is>
          <t>Médio</t>
        </is>
      </c>
      <c r="C32" s="18" t="inlineStr">
        <is>
          <t>Cuidado com o weapon swap</t>
        </is>
      </c>
      <c r="D32" s="19" t="inlineStr">
        <is>
          <t>A Catha's Balance lê a main-hand do set ATIVO. Se trocar para um set com arma fraca, o zoo perde dano. No Atlas, fique no set da arma forte (ou coloque arma forte nos dois).</t>
        </is>
      </c>
    </row>
    <row r="33" ht="49" customHeight="1">
      <c r="A33" s="19" t="inlineStr">
        <is>
          <t>Dano</t>
        </is>
      </c>
      <c r="B33" s="23" t="inlineStr">
        <is>
          <t>Fácil</t>
        </is>
      </c>
      <c r="C33" s="18" t="inlineStr">
        <is>
          <t>Jeweller's no macaco primeiro</t>
        </is>
      </c>
      <c r="D33" s="19" t="inlineStr">
        <is>
          <t>Todos os sockets vão para o Tame Beast do Silverfist antes de qualquer outra gem. Com o Effigy, o Azmerian Wolf passa a ser prioridade (Perfect Jeweller's se o Effigy estiver com poucos sockets — não funciona em item corrompido).</t>
        </is>
      </c>
    </row>
    <row r="34" ht="34" customHeight="1">
      <c r="A34" s="19" t="inlineStr">
        <is>
          <t>Dano</t>
        </is>
      </c>
      <c r="B34" s="23" t="inlineStr">
        <is>
          <t>Médio</t>
        </is>
      </c>
      <c r="C34" s="18" t="inlineStr">
        <is>
          <t>Loyalty em todos</t>
        </is>
      </c>
      <c r="D34" s="19" t="inlineStr">
        <is>
          <t>Loyalty soma em todos os companions — dá para colocar até no Silverfist quando o dano já sobra e você quer mais segurança.</t>
        </is>
      </c>
    </row>
    <row r="35" ht="34" customHeight="1">
      <c r="A35" s="19" t="inlineStr">
        <is>
          <t>Gameplay</t>
        </is>
      </c>
      <c r="B35" s="23" t="inlineStr">
        <is>
          <t>Fácil</t>
        </is>
      </c>
      <c r="C35" s="18" t="inlineStr">
        <is>
          <t>Fique perto (Presence)</t>
        </is>
      </c>
      <c r="D35" s="19" t="inlineStr">
        <is>
          <t>Vários bônus (Shared Companion Damage, auras dos beasts) exigem companions na sua Presence. Não corra muito à frente do zoo em bosses.</t>
        </is>
      </c>
    </row>
    <row r="36" ht="34" customHeight="1">
      <c r="A36" s="19" t="inlineStr">
        <is>
          <t>Defesa</t>
        </is>
      </c>
      <c r="B36" s="23" t="inlineStr">
        <is>
          <t>Fácil</t>
        </is>
      </c>
      <c r="C36" s="18" t="inlineStr">
        <is>
          <t>DoT é o que mata</t>
        </is>
      </c>
      <c r="D36" s="19" t="inlineStr">
        <is>
          <t>Evasion + Deflection seguram hits, não DoT. Leve Ruby (burn), Antidote (poison) e Staunching (bleed). Resists sempre no cap.</t>
        </is>
      </c>
    </row>
    <row r="37" ht="34" customHeight="1">
      <c r="A37" s="19" t="inlineStr">
        <is>
          <t>Defesa</t>
        </is>
      </c>
      <c r="B37" s="23" t="inlineStr">
        <is>
          <t>Médio</t>
        </is>
      </c>
      <c r="C37" s="18" t="inlineStr">
        <is>
          <t>Idolatry x runas de resist</t>
        </is>
      </c>
      <c r="D37" s="19" t="inlineStr">
        <is>
          <t>Cada Augment que não é Idol tira 4% de todas as resistências. Troque runas/soul cores de resist por Idols só depois de capar resists pelo gear.</t>
        </is>
      </c>
    </row>
    <row r="38" ht="49" customHeight="1">
      <c r="A38" s="19" t="inlineStr">
        <is>
          <t>Economia</t>
        </is>
      </c>
      <c r="B38" s="23" t="inlineStr">
        <is>
          <t>Fácil</t>
        </is>
      </c>
      <c r="C38" s="18" t="inlineStr">
        <is>
          <t>Regex de vendor</t>
        </is>
      </c>
      <c r="D38" s="19" t="inlineStr">
        <is>
          <t>Cole na busca do vendor para destacar upgrades: !regen|block|bow|mace|quarterstaff|armour:|accuracy|energy shield:""resi|\d+% i.+mov|ph.*da|\d l.+da|^\+.*ills$|^\+.*ion skills$|ck spe|o (all a|d)|evasion|spirit</t>
        </is>
      </c>
    </row>
    <row r="39" ht="34" customHeight="1">
      <c r="A39" s="19" t="inlineStr">
        <is>
          <t>Economia</t>
        </is>
      </c>
      <c r="B39" s="23" t="inlineStr">
        <is>
          <t>Fácil</t>
        </is>
      </c>
      <c r="C39" s="18" t="inlineStr">
        <is>
          <t>Compre a Chober Chaber cedo</t>
        </is>
      </c>
      <c r="D39" s="19" t="inlineStr">
        <is>
          <t>A Chober Chaber costuma custar poucos Exalts. Compre já Runeforged no Ato 3–4 e guarde: com a Catha's Balance ela vira a principal fonte de dano do zoo.</t>
        </is>
      </c>
    </row>
  </sheetData>
  <autoFilter ref="A3:D39"/>
  <mergeCells count="2">
    <mergeCell ref="A1:D1"/>
    <mergeCell ref="A2:D2"/>
  </mergeCells>
  <conditionalFormatting sqref="B4:B39">
    <cfRule type="cellIs" priority="1" operator="equal" dxfId="5">
      <formula>"Fácil"</formula>
    </cfRule>
    <cfRule type="cellIs" priority="2" operator="equal" dxfId="2">
      <formula>"Médio"</formula>
    </cfRule>
    <cfRule type="cellIs" priority="3" operator="equal" dxfId="6">
      <formula>"Avançado"</formula>
    </cfRule>
  </conditionalFormatting>
  <pageMargins left="0.75" right="0.75" top="1" bottom="1" header="0.5" footer="0.5"/>
</worksheet>
</file>

<file path=xl/worksheets/sheet12.xml><?xml version="1.0" encoding="utf-8"?>
<worksheet xmlns="http://schemas.openxmlformats.org/spreadsheetml/2006/main">
  <sheetPr>
    <tabColor rgb="00B84A3A"/>
    <outlinePr summaryBelow="1" summaryRight="1"/>
    <pageSetUpPr/>
  </sheetPr>
  <dimension ref="A1:E21"/>
  <sheetViews>
    <sheetView showGridLines="0" zoomScale="100" workbookViewId="0">
      <selection activeCell="A1" sqref="A1"/>
    </sheetView>
  </sheetViews>
  <sheetFormatPr baseColWidth="8" defaultRowHeight="15"/>
  <cols>
    <col width="36" customWidth="1" min="1" max="1"/>
    <col width="70" customWidth="1" min="2" max="2"/>
    <col width="4" customWidth="1" min="3" max="3"/>
    <col width="34" customWidth="1" min="4" max="4"/>
    <col width="60" customWidth="1" min="5" max="5"/>
  </cols>
  <sheetData>
    <row r="1" ht="34" customHeight="1">
      <c r="A1" s="1" t="inlineStr">
        <is>
          <t>DIAGNÓSTICO — o dano caiu? algo deu errado?</t>
        </is>
      </c>
      <c r="B1" s="2" t="n"/>
      <c r="C1" s="2" t="n"/>
      <c r="D1" s="2" t="n"/>
      <c r="E1" s="2" t="n"/>
    </row>
    <row r="2" ht="30" customHeight="1">
      <c r="A2" s="3" t="inlineStr">
        <is>
          <t>Sintoma → causa provável → correção. Abaixo, análise do seu setup atual (imagens da planilha antiga).</t>
        </is>
      </c>
      <c r="B2" s="2" t="n"/>
      <c r="C2" s="2" t="n"/>
      <c r="D2" s="2" t="n"/>
      <c r="E2" s="2" t="n"/>
    </row>
    <row r="3" ht="22" customHeight="1">
      <c r="A3" s="15" t="inlineStr">
        <is>
          <t>Sintoma</t>
        </is>
      </c>
      <c r="B3" s="15" t="inlineStr">
        <is>
          <t>O que fazer</t>
        </is>
      </c>
      <c r="C3" s="15" t="inlineStr"/>
      <c r="D3" s="15" t="inlineStr"/>
      <c r="E3" s="15" t="inlineStr"/>
    </row>
    <row r="4" ht="34" customHeight="1">
      <c r="A4" s="18" t="inlineStr">
        <is>
          <t>O zoo parou de bater / sumiu</t>
        </is>
      </c>
      <c r="B4" s="19" t="inlineStr">
        <is>
          <t>Spirit acima do limite desliga skills. Veja a reserva no painel de skills e desligue uma não-companion.</t>
        </is>
      </c>
      <c r="C4" s="19" t="inlineStr"/>
      <c r="D4" s="19" t="inlineStr"/>
      <c r="E4" s="19" t="inlineStr"/>
    </row>
    <row r="5" ht="34" customHeight="1">
      <c r="A5" s="18" t="inlineStr">
        <is>
          <t>Dano caiu depois de trocar arma</t>
        </is>
      </c>
      <c r="B5" s="19" t="inlineStr">
        <is>
          <t>A Catha's Balance usa a main-hand do set ativo. Volte para o set com a arma forte.</t>
        </is>
      </c>
      <c r="C5" s="19" t="inlineStr"/>
      <c r="D5" s="19" t="inlineStr"/>
      <c r="E5" s="19" t="inlineStr"/>
    </row>
    <row r="6" ht="34" customHeight="1">
      <c r="A6" s="18" t="inlineStr">
        <is>
          <t>Silverfist fraco no Ato 4</t>
        </is>
      </c>
      <c r="B6" s="19" t="inlineStr">
        <is>
          <t>Confira os supports do macaco: Feeding Frenzy II · Rage II · Rapid Attacks II · Heft (Muster só entra nos Interlúdios, quando tiver vários tipos de minion). Suba o nível da gem Tame Beast e use Sniper's Mark no boss.</t>
        </is>
      </c>
      <c r="C6" s="19" t="inlineStr"/>
      <c r="D6" s="19" t="inlineStr"/>
      <c r="E6" s="19" t="inlineStr"/>
    </row>
    <row r="7" ht="34" customHeight="1">
      <c r="A7" s="18" t="inlineStr">
        <is>
          <t>Resists caíram do nada</t>
        </is>
      </c>
      <c r="B7" s="19" t="inlineStr">
        <is>
          <t>Idolatry: -4% por Augment que não é Idol. Troque runas/soul cores por Idols ou recapar via gear.</t>
        </is>
      </c>
      <c r="C7" s="19" t="inlineStr"/>
      <c r="D7" s="19" t="inlineStr"/>
      <c r="E7" s="19" t="inlineStr"/>
    </row>
    <row r="8" ht="34" customHeight="1">
      <c r="A8" s="18" t="inlineStr">
        <is>
          <t>Morro para bleed/burn/poison</t>
        </is>
      </c>
      <c r="B8" s="19" t="inlineStr">
        <is>
          <t>Charms Staunching / Ruby / Antidote e resist de chaos. Evasion não protege contra DoT.</t>
        </is>
      </c>
      <c r="C8" s="19" t="inlineStr"/>
      <c r="D8" s="19" t="inlineStr"/>
      <c r="E8" s="19" t="inlineStr"/>
    </row>
    <row r="9" ht="34" customHeight="1">
      <c r="A9" s="18" t="inlineStr">
        <is>
          <t>Bosses demoram</t>
        </is>
      </c>
      <c r="B9" s="19" t="inlineStr">
        <is>
          <t>Sniper's Mark no boss, Armour Break III no macaco, e confira se os companions estão na sua Presence.</t>
        </is>
      </c>
      <c r="C9" s="19" t="inlineStr"/>
      <c r="D9" s="19" t="inlineStr"/>
      <c r="E9" s="19" t="inlineStr"/>
    </row>
    <row r="10" ht="34" customHeight="1">
      <c r="A10" s="18" t="inlineStr">
        <is>
          <t>Tirei Trusted Kinship com o Effigy e o Spirit estourou</t>
        </is>
      </c>
      <c r="B10" s="19" t="inlineStr">
        <is>
          <t>Recoloque o keystone: os 30% more de reservation efficiency continuam valendo mesmo com companions ilimitados.</t>
        </is>
      </c>
      <c r="C10" s="19" t="inlineStr"/>
      <c r="D10" s="19" t="inlineStr"/>
      <c r="E10" s="19" t="inlineStr"/>
    </row>
    <row r="11" ht="34" customHeight="1">
      <c r="A11" s="18" t="inlineStr">
        <is>
          <t>Não consigo equipar a Chober Chaber com Giant's Blood</t>
        </is>
      </c>
      <c r="B11" s="19" t="inlineStr">
        <is>
          <t>Os requisitos triplicam. Use The Vertex, Soul Core of Cholotl (40% vira Dex) ou atributos na árvore.</t>
        </is>
      </c>
      <c r="C11" s="19" t="inlineStr"/>
      <c r="D11" s="19" t="inlineStr"/>
      <c r="E11" s="19" t="inlineStr"/>
    </row>
    <row r="12" ht="34" customHeight="1">
      <c r="A12" s="18" t="inlineStr">
        <is>
          <t>Zekoa com poucos mods</t>
        </is>
      </c>
      <c r="B12" s="19" t="inlineStr">
        <is>
          <t>Use tablets com 'Unique Monsters have 1 additional Rare Modifier' + Cruel Hegemony em Riverside/Rupture.</t>
        </is>
      </c>
      <c r="C12" s="19" t="inlineStr"/>
      <c r="D12" s="19" t="inlineStr"/>
      <c r="E12" s="19" t="inlineStr"/>
    </row>
    <row r="13" ht="34" customHeight="1">
      <c r="A13" s="18" t="inlineStr">
        <is>
          <t>Pain Offering não dá buff</t>
        </is>
      </c>
      <c r="B13" s="19" t="inlineStr">
        <is>
          <t>Ele precisa de um esqueleto vivo por perto (Warrior, Arsonist, Sniper ou Cleric) com Sacrificial Lamb. Danse Macabre precisa de 2 esqueletos: com 1 só, troque por Sacrificial Offering.</t>
        </is>
      </c>
      <c r="C13" s="19" t="inlineStr"/>
      <c r="D13" s="19" t="inlineStr"/>
      <c r="E13" s="19" t="inlineStr"/>
    </row>
    <row r="14" ht="34" customHeight="1">
      <c r="A14" s="18" t="inlineStr">
        <is>
          <t>Mana acaba no endgame</t>
        </is>
      </c>
      <c r="B14" s="19" t="inlineStr">
        <is>
          <t>Lavianga's Spirits (flask constante) + a mana da Chober Chaber; com Mind Over Matter a mana também é sua defesa.</t>
        </is>
      </c>
      <c r="C14" s="19" t="inlineStr"/>
      <c r="D14" s="19" t="inlineStr"/>
      <c r="E14" s="19" t="inlineStr"/>
    </row>
    <row r="15" ht="34" customHeight="1">
      <c r="A15" s="18" t="inlineStr">
        <is>
          <t>Não cabe tudo no Spirit</t>
        </is>
      </c>
      <c r="B15" s="19" t="inlineStr">
        <is>
          <t>Ative na ordem da aba Skills: macaco → beast de aura → Withering Presence → 1 esqueleto. Curses, marks, Pain Offering e Unearth não reservam Spirit. Se o painel mostrar Spirit negativo, desligue o último minion que entrou.</t>
        </is>
      </c>
      <c r="C15" s="19" t="inlineStr"/>
      <c r="D15" s="19" t="inlineStr"/>
      <c r="E15" s="19" t="inlineStr"/>
    </row>
    <row r="17" ht="22" customHeight="1">
      <c r="A17" s="4" t="inlineStr">
        <is>
          <t>SEU SETUP ATUAL — análise</t>
        </is>
      </c>
      <c r="B17" s="5" t="n"/>
      <c r="C17" s="5" t="n"/>
      <c r="D17" s="5" t="n"/>
      <c r="E17" s="5" t="n"/>
    </row>
    <row r="18" ht="138.06" customHeight="1">
      <c r="A18" s="51" t="inlineStr">
        <is>
          <t>Silverfist — Feeding Frenzy II, Rage II, Rapid Attacks II, Heft, Muster</t>
        </is>
      </c>
      <c r="B18" s="31" t="inlineStr">
        <is>
          <t>Certo: é exatamente o setup do Mattjestic (Act 5 / mapping). Com Rage III no lugar do Rage II a partir do mapping.</t>
        </is>
      </c>
    </row>
    <row r="19" ht="97.5" customHeight="1">
      <c r="A19" s="51" t="inlineStr">
        <is>
          <t>Wild Protector — Magnified Area I, Armour Break III, Minion Splash II</t>
        </is>
      </c>
      <c r="B19" s="31" t="inlineStr">
        <is>
          <t>Certo para Ato 4 → mapping T1-10 (o Mattjestic usa os mesmos três e adiciona Minion Mastery). No endgame vira Romira's Requital + Catha's Brilliance.</t>
        </is>
      </c>
    </row>
    <row r="20" ht="138.06" customHeight="1">
      <c r="A20" s="51" t="inlineStr">
        <is>
          <t>Pain Offering — Danse Macabre, Prolonged Duration II</t>
        </is>
      </c>
      <c r="B20" s="31" t="inlineStr">
        <is>
          <t>Central na rota. Danse Macabre só funciona com 2 esqueletos vivos; com 1 esqueleto (Ato 3–4) use Sacrificial Offering no lugar. Brutus' Brain entra no endgame (o espinho não morre).</t>
        </is>
      </c>
    </row>
    <row r="21" ht="113.1" customHeight="1">
      <c r="A21" s="51" t="inlineStr">
        <is>
          <t>Skeletal Sniper + Withering Presence</t>
        </is>
      </c>
      <c r="B21" s="31" t="inlineStr">
        <is>
          <t>Os dois fazem sentido: o Sniper conta como mais um tipo de minion para o Muster e serve de alvo do Pain Offering; o Withering Presence vale com 2× Evergrasping Ring (dano de chaos nos aliados). Sem os anéis, troque o Withering Presence.</t>
        </is>
      </c>
    </row>
  </sheetData>
  <mergeCells count="7">
    <mergeCell ref="B18"/>
    <mergeCell ref="A2:E2"/>
    <mergeCell ref="B21"/>
    <mergeCell ref="A1:E1"/>
    <mergeCell ref="B20"/>
    <mergeCell ref="B19"/>
    <mergeCell ref="A17:E17"/>
  </mergeCells>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tabColor rgb="003E9E86"/>
    <outlinePr summaryBelow="1" summaryRight="1"/>
    <pageSetUpPr/>
  </sheetPr>
  <dimension ref="A1:C46"/>
  <sheetViews>
    <sheetView showGridLines="0" zoomScale="100" workbookViewId="0">
      <selection activeCell="A1" sqref="A1"/>
    </sheetView>
  </sheetViews>
  <sheetFormatPr baseColWidth="8" defaultRowHeight="15"/>
  <cols>
    <col width="18" customWidth="1" min="1" max="1"/>
    <col width="50" customWidth="1" min="2" max="2"/>
    <col width="40" customWidth="1" min="3" max="3"/>
  </cols>
  <sheetData>
    <row r="1" ht="34" customHeight="1">
      <c r="A1" s="1" t="inlineStr">
        <is>
          <t>ATLAS — checklist e árvore</t>
        </is>
      </c>
      <c r="B1" s="2" t="n"/>
      <c r="C1" s="2" t="n"/>
    </row>
    <row r="2" ht="30" customHeight="1">
      <c r="A2" s="3" t="inlineStr">
        <is>
          <t>Da entrada no T1 até Uber Arbiter. Nós do Atlas conforme o guia T15+ (0.5.5).</t>
        </is>
      </c>
      <c r="B2" s="2" t="n"/>
      <c r="C2" s="2" t="n"/>
    </row>
    <row r="3" ht="22" customHeight="1">
      <c r="A3" s="15" t="inlineStr">
        <is>
          <t>Etapa</t>
        </is>
      </c>
      <c r="B3" s="15" t="inlineStr">
        <is>
          <t>Meta</t>
        </is>
      </c>
      <c r="C3" s="15" t="inlineStr">
        <is>
          <t>Upgrade-chave</t>
        </is>
      </c>
    </row>
    <row r="4" ht="30" customHeight="1">
      <c r="A4" s="18" t="inlineStr">
        <is>
          <t>Antes do T1</t>
        </is>
      </c>
      <c r="B4" s="19" t="inlineStr">
        <is>
          <t>75% resists · 25–30% MS · Silverfist com sockets</t>
        </is>
      </c>
      <c r="C4" s="19" t="inlineStr">
        <is>
          <t>Catha's Balance se já tiver</t>
        </is>
      </c>
    </row>
    <row r="5" ht="30" customHeight="1">
      <c r="A5" s="18" t="inlineStr">
        <is>
          <t>T1–T5</t>
        </is>
      </c>
      <c r="B5" s="19" t="inlineStr">
        <is>
          <t>Zero mortes aleatórias · +Minion ranks</t>
        </is>
      </c>
      <c r="C5" s="19" t="inlineStr">
        <is>
          <t>Sceptre raro com Spirit</t>
        </is>
      </c>
    </row>
    <row r="6" ht="30" customHeight="1">
      <c r="A6" s="18" t="inlineStr">
        <is>
          <t>T6–T10</t>
        </is>
      </c>
      <c r="B6" s="19" t="inlineStr">
        <is>
          <t>Bosses rápidos · main-hand de alto dano</t>
        </is>
      </c>
      <c r="C6" s="19" t="inlineStr">
        <is>
          <t>Deflection começando</t>
        </is>
      </c>
    </row>
    <row r="7" ht="30" customHeight="1">
      <c r="A7" s="18" t="inlineStr">
        <is>
          <t>T11–T15</t>
        </is>
      </c>
      <c r="B7" s="19" t="inlineStr">
        <is>
          <t>Zoo estável · charms de DoT</t>
        </is>
      </c>
      <c r="C7" s="19" t="inlineStr">
        <is>
          <t>Chober Chaber + Rattling Sceptre (ou Sylvan's Effigy)</t>
        </is>
      </c>
    </row>
    <row r="8" ht="30" customHeight="1">
      <c r="A8" s="18" t="inlineStr">
        <is>
          <t>T15+ Value</t>
        </is>
      </c>
      <c r="B8" s="19" t="inlineStr">
        <is>
          <t>Lazy clear · Azmerian Wolf / Wolf Pack</t>
        </is>
      </c>
      <c r="C8" s="19" t="inlineStr">
        <is>
          <t>Sylvan's Effigy + Idolatry</t>
        </is>
      </c>
    </row>
    <row r="9" ht="30" customHeight="1">
      <c r="A9" s="18" t="inlineStr">
        <is>
          <t>Arbiter / Uber</t>
        </is>
      </c>
      <c r="B9" s="19" t="inlineStr">
        <is>
          <t>Mana Remnants · aura beasts · 350 Spirit</t>
        </is>
      </c>
      <c r="C9" s="19" t="inlineStr">
        <is>
          <t>From Nothing / Prism of Belief</t>
        </is>
      </c>
    </row>
    <row r="11" ht="22" customHeight="1">
      <c r="A11" s="13" t="inlineStr">
        <is>
          <t>ÁRVORE DO ATLAS</t>
        </is>
      </c>
      <c r="B11" s="14" t="n"/>
      <c r="C11" s="14" t="n"/>
    </row>
    <row r="12" ht="22" customHeight="1">
      <c r="A12" s="15" t="inlineStr">
        <is>
          <t>Grupo</t>
        </is>
      </c>
      <c r="B12" s="15" t="inlineStr">
        <is>
          <t>Nó</t>
        </is>
      </c>
      <c r="C12" s="15" t="inlineStr"/>
    </row>
    <row r="13">
      <c r="A13" s="28" t="inlineStr">
        <is>
          <t>Standard</t>
        </is>
      </c>
      <c r="B13" s="19" t="inlineStr">
        <is>
          <t>Unseen Rivers: Vivid</t>
        </is>
      </c>
      <c r="C13" s="19" t="inlineStr"/>
    </row>
    <row r="14">
      <c r="A14" s="28" t="inlineStr">
        <is>
          <t>Standard</t>
        </is>
      </c>
      <c r="B14" s="19" t="inlineStr">
        <is>
          <t>Craftsman's Creed: Skill of Hand</t>
        </is>
      </c>
      <c r="C14" s="19" t="inlineStr"/>
    </row>
    <row r="15">
      <c r="A15" s="28" t="inlineStr">
        <is>
          <t>Standard</t>
        </is>
      </c>
      <c r="B15" s="19" t="inlineStr">
        <is>
          <t>Well-equipped Opponents: Dexterity</t>
        </is>
      </c>
      <c r="C15" s="19" t="inlineStr"/>
    </row>
    <row r="16">
      <c r="A16" s="28" t="inlineStr">
        <is>
          <t>Standard</t>
        </is>
      </c>
      <c r="B16" s="19" t="inlineStr">
        <is>
          <t>Blood on the Stones: Bosses</t>
        </is>
      </c>
      <c r="C16" s="19" t="inlineStr"/>
    </row>
    <row r="17">
      <c r="A17" s="28" t="inlineStr">
        <is>
          <t>Standard</t>
        </is>
      </c>
      <c r="B17" s="19" t="inlineStr">
        <is>
          <t>Divined Blessing: Seeking Shrine</t>
        </is>
      </c>
      <c r="C17" s="19" t="inlineStr"/>
    </row>
    <row r="18">
      <c r="A18" s="28" t="inlineStr">
        <is>
          <t>Standard</t>
        </is>
      </c>
      <c r="B18" s="19" t="inlineStr">
        <is>
          <t>The Chosen Path: Azmeri Spirits</t>
        </is>
      </c>
      <c r="C18" s="19" t="inlineStr"/>
    </row>
    <row r="19">
      <c r="A19" s="28" t="inlineStr">
        <is>
          <t>Standard</t>
        </is>
      </c>
      <c r="B19" s="19" t="inlineStr">
        <is>
          <t>Sacred Sap: Commingled</t>
        </is>
      </c>
      <c r="C19" s="19" t="inlineStr"/>
    </row>
    <row r="20">
      <c r="A20" s="28" t="inlineStr">
        <is>
          <t>Standard</t>
        </is>
      </c>
      <c r="B20" s="19" t="inlineStr">
        <is>
          <t>Overlord's Influence: Azmeri Spirit</t>
        </is>
      </c>
      <c r="C20" s="19" t="inlineStr"/>
    </row>
    <row r="21">
      <c r="A21" s="28" t="inlineStr">
        <is>
          <t>Standard</t>
        </is>
      </c>
      <c r="B21" s="19" t="inlineStr">
        <is>
          <t>Overlord's Domain: Essence</t>
        </is>
      </c>
      <c r="C21" s="19" t="inlineStr"/>
    </row>
    <row r="22">
      <c r="A22" s="28" t="inlineStr">
        <is>
          <t>Standard</t>
        </is>
      </c>
      <c r="B22" s="19" t="inlineStr">
        <is>
          <t>The Journey Ahead: Effectiveness</t>
        </is>
      </c>
      <c r="C22" s="19" t="inlineStr"/>
    </row>
    <row r="23">
      <c r="A23" s="28" t="inlineStr">
        <is>
          <t>Standard</t>
        </is>
      </c>
      <c r="B23" s="19" t="inlineStr">
        <is>
          <t>Avatar of Evolution</t>
        </is>
      </c>
      <c r="C23" s="19" t="inlineStr"/>
    </row>
    <row r="24">
      <c r="A24" s="28" t="inlineStr">
        <is>
          <t>Standard</t>
        </is>
      </c>
      <c r="B24" s="19" t="inlineStr">
        <is>
          <t>Fabled Showdown</t>
        </is>
      </c>
      <c r="C24" s="19" t="inlineStr"/>
    </row>
    <row r="25">
      <c r="A25" s="28" t="inlineStr">
        <is>
          <t>Standard</t>
        </is>
      </c>
      <c r="B25" s="19" t="inlineStr">
        <is>
          <t>Legendary Duels: Renowned Weapons</t>
        </is>
      </c>
      <c r="C25" s="19" t="inlineStr"/>
    </row>
    <row r="26">
      <c r="A26" s="28" t="inlineStr">
        <is>
          <t>Standard</t>
        </is>
      </c>
      <c r="B26" s="19" t="inlineStr">
        <is>
          <t>Nemesis Rising: Additional Rare Monster</t>
        </is>
      </c>
      <c r="C26" s="19" t="inlineStr"/>
    </row>
    <row r="27">
      <c r="A27" s="28" t="inlineStr">
        <is>
          <t>Standard</t>
        </is>
      </c>
      <c r="B27" s="19" t="inlineStr">
        <is>
          <t>Crystalline Patterns: Opulence</t>
        </is>
      </c>
      <c r="C27" s="19" t="inlineStr"/>
    </row>
    <row r="28">
      <c r="A28" s="28" t="inlineStr">
        <is>
          <t>Standard</t>
        </is>
      </c>
      <c r="B28" s="19" t="inlineStr">
        <is>
          <t>Corrupted Lattices: Duplication</t>
        </is>
      </c>
      <c r="C28" s="19" t="inlineStr"/>
    </row>
    <row r="29">
      <c r="A29" s="28" t="inlineStr">
        <is>
          <t>Standard</t>
        </is>
      </c>
      <c r="B29" s="19" t="inlineStr">
        <is>
          <t>Essence Dowsing: Ruin</t>
        </is>
      </c>
      <c r="C29" s="19" t="inlineStr"/>
    </row>
    <row r="30">
      <c r="A30" s="28" t="inlineStr">
        <is>
          <t>Standard</t>
        </is>
      </c>
      <c r="B30" s="19" t="inlineStr">
        <is>
          <t>Water Mastery: Currency</t>
        </is>
      </c>
      <c r="C30" s="19" t="inlineStr"/>
    </row>
    <row r="31">
      <c r="A31" s="28" t="inlineStr">
        <is>
          <t>Standard</t>
        </is>
      </c>
      <c r="B31" s="19" t="inlineStr">
        <is>
          <t>Forest Mastery: Uncut Gems</t>
        </is>
      </c>
      <c r="C31" s="19" t="inlineStr"/>
    </row>
    <row r="32">
      <c r="A32" s="28" t="inlineStr">
        <is>
          <t>Standard</t>
        </is>
      </c>
      <c r="B32" s="19" t="inlineStr">
        <is>
          <t>Grass Mastery: Perfect Currency</t>
        </is>
      </c>
      <c r="C32" s="19" t="inlineStr"/>
    </row>
    <row r="33">
      <c r="A33" s="28" t="inlineStr">
        <is>
          <t>Standard</t>
        </is>
      </c>
      <c r="B33" s="19" t="inlineStr">
        <is>
          <t>Swamp Mastery: Chaos</t>
        </is>
      </c>
      <c r="C33" s="19" t="inlineStr"/>
    </row>
    <row r="34">
      <c r="A34" s="28" t="inlineStr">
        <is>
          <t>Standard</t>
        </is>
      </c>
      <c r="B34" s="19" t="inlineStr">
        <is>
          <t>Desert Mastery: Effectiveness</t>
        </is>
      </c>
      <c r="C34" s="19" t="inlineStr"/>
    </row>
    <row r="35">
      <c r="A35" s="28" t="inlineStr">
        <is>
          <t>Standard</t>
        </is>
      </c>
      <c r="B35" s="19" t="inlineStr">
        <is>
          <t>History of the Faridun: Vastiri Woes</t>
        </is>
      </c>
      <c r="C35" s="19" t="inlineStr"/>
    </row>
    <row r="36">
      <c r="A36" s="28" t="inlineStr">
        <is>
          <t>Ritual</t>
        </is>
      </c>
      <c r="B36" s="19" t="inlineStr">
        <is>
          <t>Invigorated Sacrifices: Attrition</t>
        </is>
      </c>
      <c r="C36" s="19" t="inlineStr"/>
    </row>
    <row r="37">
      <c r="A37" s="28" t="inlineStr">
        <is>
          <t>Ritual</t>
        </is>
      </c>
      <c r="B37" s="19" t="inlineStr">
        <is>
          <t>Traveller's Woe: Tainted</t>
        </is>
      </c>
      <c r="C37" s="19" t="inlineStr"/>
    </row>
    <row r="38">
      <c r="A38" s="28" t="inlineStr">
        <is>
          <t>Delirium</t>
        </is>
      </c>
      <c r="B38" s="19" t="inlineStr">
        <is>
          <t>Recurring Nightmares: Always Different</t>
        </is>
      </c>
      <c r="C38" s="19" t="inlineStr"/>
    </row>
    <row r="39">
      <c r="A39" s="28" t="inlineStr">
        <is>
          <t>Breach</t>
        </is>
      </c>
      <c r="B39" s="19" t="inlineStr">
        <is>
          <t>Breeding Program: Lavish Fruit</t>
        </is>
      </c>
      <c r="C39" s="19" t="inlineStr"/>
    </row>
    <row r="40">
      <c r="A40" s="28" t="inlineStr">
        <is>
          <t>Breach</t>
        </is>
      </c>
      <c r="B40" s="19" t="inlineStr">
        <is>
          <t>Shape the Chains: Empower Rares</t>
        </is>
      </c>
      <c r="C40" s="19" t="inlineStr"/>
    </row>
    <row r="41">
      <c r="A41" s="28" t="inlineStr">
        <is>
          <t>Breach</t>
        </is>
      </c>
      <c r="B41" s="19" t="inlineStr">
        <is>
          <t>Tear Open the Rift: Major Breach</t>
        </is>
      </c>
      <c r="C41" s="19" t="inlineStr"/>
    </row>
    <row r="42">
      <c r="A42" s="28" t="inlineStr">
        <is>
          <t>Breach</t>
        </is>
      </c>
      <c r="B42" s="19" t="inlineStr">
        <is>
          <t>Sole Purpose: Versatility</t>
        </is>
      </c>
      <c r="C42" s="19" t="inlineStr"/>
    </row>
    <row r="43">
      <c r="A43" s="28" t="inlineStr">
        <is>
          <t>Abyss</t>
        </is>
      </c>
      <c r="B43" s="19" t="inlineStr">
        <is>
          <t>Lord of the Pit: Agitation</t>
        </is>
      </c>
      <c r="C43" s="19" t="inlineStr"/>
    </row>
    <row r="44">
      <c r="A44" s="28" t="inlineStr">
        <is>
          <t>Abyss</t>
        </is>
      </c>
      <c r="B44" s="19" t="inlineStr">
        <is>
          <t>Balance of Power: Kurgal</t>
        </is>
      </c>
      <c r="C44" s="19" t="inlineStr"/>
    </row>
    <row r="45">
      <c r="A45" s="28" t="inlineStr">
        <is>
          <t>Abyss</t>
        </is>
      </c>
      <c r="B45" s="19" t="inlineStr">
        <is>
          <t>Vile Treasures: Eyes</t>
        </is>
      </c>
      <c r="C45" s="19" t="inlineStr"/>
    </row>
    <row r="46">
      <c r="A46" s="28" t="inlineStr">
        <is>
          <t>Vaal Temple</t>
        </is>
      </c>
      <c r="B46" s="19" t="inlineStr">
        <is>
          <t>Atziri's Assets: Designs</t>
        </is>
      </c>
      <c r="C46" s="19" t="inlineStr"/>
    </row>
  </sheetData>
  <mergeCells count="3">
    <mergeCell ref="A1:C1"/>
    <mergeCell ref="A11:C11"/>
    <mergeCell ref="A2:C2"/>
  </mergeCells>
  <pageMargins left="0.75" right="0.75" top="1" bottom="1" header="0.5" footer="0.5"/>
</worksheet>
</file>

<file path=xl/worksheets/sheet14.xml><?xml version="1.0" encoding="utf-8"?>
<worksheet xmlns="http://schemas.openxmlformats.org/spreadsheetml/2006/main">
  <sheetPr>
    <tabColor rgb="00B84A3A"/>
    <outlinePr summaryBelow="1" summaryRight="1"/>
    <pageSetUpPr/>
  </sheetPr>
  <dimension ref="A1:E123"/>
  <sheetViews>
    <sheetView showGridLines="0" zoomScale="100" workbookViewId="0">
      <selection activeCell="A1" sqref="A1"/>
    </sheetView>
  </sheetViews>
  <sheetFormatPr baseColWidth="8" defaultRowHeight="15"/>
  <cols>
    <col width="6" customWidth="1" min="1" max="1"/>
    <col width="44" customWidth="1" min="2" max="2"/>
    <col width="40" customWidth="1" min="3" max="3"/>
    <col width="58" customWidth="1" min="4" max="4"/>
    <col width="44" customWidth="1" min="5" max="5"/>
  </cols>
  <sheetData>
    <row r="1" ht="34" customHeight="1">
      <c r="A1" s="1" t="inlineStr">
        <is>
          <t>NOSSA ROTA OTIMIZADA — o que mudou e por quê</t>
        </is>
      </c>
      <c r="B1" s="2" t="n"/>
      <c r="C1" s="2" t="n"/>
      <c r="D1" s="2" t="n"/>
      <c r="E1" s="2" t="n"/>
    </row>
    <row r="2" ht="30" customHeight="1">
      <c r="A2" s="3" t="inlineStr">
        <is>
          <t>Baseado em 5649 Spirit Walkers com Sylvan's Effigy + 24 zoos nível 98–99 da liga Forbidden Rites (poe.ninja, 15/09/2026).</t>
        </is>
      </c>
      <c r="B2" s="2" t="n"/>
      <c r="C2" s="2" t="n"/>
      <c r="D2" s="2" t="n"/>
      <c r="E2" s="2" t="n"/>
    </row>
    <row r="3" ht="22" customHeight="1">
      <c r="A3" s="15" t="inlineStr">
        <is>
          <t>#</t>
        </is>
      </c>
      <c r="B3" s="15" t="inlineStr">
        <is>
          <t>Otimização</t>
        </is>
      </c>
      <c r="C3" s="15" t="inlineStr">
        <is>
          <t>Evidência (dados)</t>
        </is>
      </c>
      <c r="D3" s="15" t="inlineStr">
        <is>
          <t>Por quê</t>
        </is>
      </c>
      <c r="E3" s="15" t="inlineStr">
        <is>
          <t>Guia base dizia</t>
        </is>
      </c>
    </row>
    <row r="4" ht="64" customHeight="1">
      <c r="A4" s="23" t="n">
        <v>1</v>
      </c>
      <c r="B4" s="50" t="inlineStr">
        <is>
          <t>Por que a Chober Chaber é o centro</t>
        </is>
      </c>
      <c r="C4" s="19" t="inlineStr">
        <is>
          <t>Mattjestic usa do 'Giant's Blood' ao 100m DPS; 24% dos zoos com Effigy no poe.ninja.</t>
        </is>
      </c>
      <c r="D4" s="19" t="inlineStr">
        <is>
          <t>A Catha's Balance dá aos companions 60% do dano da sua main-hand por golpe. A Chober é uma maça de 2 mãos com dano base enorme e ainda dá +2 a +4 Minion Skills, +50 Spirit e +100 mana. Nenhuma outra arma entrega tudo isso junto.</t>
        </is>
      </c>
      <c r="E4" s="42" t="inlineStr">
        <is>
          <t>Rotas antigas: Tyranny's Grip / spear rare.</t>
        </is>
      </c>
    </row>
    <row r="5" ht="64" customHeight="1">
      <c r="A5" s="23" t="n">
        <v>2</v>
      </c>
      <c r="B5" s="50" t="inlineStr">
        <is>
          <t>Giant's Blood: 2 mãos + sceptre</t>
        </is>
      </c>
      <c r="C5" s="19" t="inlineStr">
        <is>
          <t>Keystone em todas as variantes endgame do Mattjestic; 34% dos zoos com Effigy.</t>
        </is>
      </c>
      <c r="D5" s="19" t="inlineStr">
        <is>
          <t>Sem Giant's Blood, a Chober ocuparia as duas mãos e você perderia o sceptre (Skeletal Warrior no começo, Sylvan's Effigy depois). Treefingers dá o keystone cedo; no endgame ele vai para a árvore.</t>
        </is>
      </c>
      <c r="E5" s="42" t="inlineStr"/>
    </row>
    <row r="6" ht="49" customHeight="1">
      <c r="A6" s="23" t="n">
        <v>3</v>
      </c>
      <c r="B6" s="50" t="inlineStr">
        <is>
          <t>The Vertex resolve os requisitos triplicados</t>
        </is>
      </c>
      <c r="C6" s="19" t="inlineStr">
        <is>
          <t>Variante 0.5.5 Mapping: 'The Vertex (equipment)'.</t>
        </is>
      </c>
      <c r="D6" s="19" t="inlineStr">
        <is>
          <t>Giant's Blood triplica os requisitos de atributo das armas marciais. A versão do The Vertex com 'Equipment has no Attribute Requirements' zera isso e libera a Chober já no Ato 3.</t>
        </is>
      </c>
      <c r="E6" s="42" t="inlineStr"/>
    </row>
    <row r="7" ht="49" customHeight="1">
      <c r="A7" s="23" t="n">
        <v>4</v>
      </c>
      <c r="B7" s="50" t="inlineStr">
        <is>
          <t>Pain Offering é central (não opcional)</t>
        </is>
      </c>
      <c r="C7" s="19" t="inlineStr">
        <is>
          <t>Presente em quase todas as variantes do Ato 3 ao 21m DPS.</t>
        </is>
      </c>
      <c r="D7" s="19" t="inlineStr">
        <is>
          <t>Espeta um esqueleto e dá aos minions próximos até +29% attack speed e +58% dano (mais 30% com Danse Macabre e 30% com Sacrificial Offering). Brutus' Brain impede o espinho de morrer.</t>
        </is>
      </c>
      <c r="E7" s="42" t="inlineStr">
        <is>
          <t>Eu tinha chamado de 'botão opcional' — estava errado.</t>
        </is>
      </c>
    </row>
    <row r="8" ht="64" customHeight="1">
      <c r="A8" s="23" t="n">
        <v>5</v>
      </c>
      <c r="B8" s="50" t="inlineStr">
        <is>
          <t>Esqueletos existem para o Muster e para o Pain Offering</t>
        </is>
      </c>
      <c r="C8" s="19" t="inlineStr">
        <is>
          <t>Mattjestic (Ato 5) usa Warrior, Arsonist, Sniper, Frost Mage e Reaver sem supports de dano — mas só com Spirit sobrando. Entre um por vez.</t>
        </is>
      </c>
      <c r="D8" s="19" t="inlineStr">
        <is>
          <t>Muster: +7% more dano para CADA tipo diferente de minion que revive. Cada tipo de esqueleto que couber no Spirit soma +7% no macaco e ainda serve de alvo do Pain Offering. 1 de cada tipo basta.</t>
        </is>
      </c>
      <c r="E8" s="42" t="inlineStr"/>
    </row>
    <row r="9" ht="49" customHeight="1">
      <c r="A9" s="23" t="n">
        <v>6</v>
      </c>
      <c r="B9" s="50" t="inlineStr">
        <is>
          <t>Skeletal Cleric é alvo válido do Pain Offering</t>
        </is>
      </c>
      <c r="C9" s="19" t="inlineStr">
        <is>
          <t>Endgame: Cleric com Sacrificial Lamb II + Tecrod's Revenge.</t>
        </is>
      </c>
      <c r="D9" s="19" t="inlineStr">
        <is>
          <t>O Cleric é um esqueleto. Quando o Effigy tira o Rattling Sceptre, o Cleric (com Sacrificial Lamb II) vira o esqueleto espetado e ainda cura/revive.</t>
        </is>
      </c>
      <c r="E9" s="42" t="inlineStr">
        <is>
          <t>Eu tinha dito que o Cleric não servia — estava errado.</t>
        </is>
      </c>
    </row>
    <row r="10" ht="49" customHeight="1">
      <c r="A10" s="23" t="n">
        <v>7</v>
      </c>
      <c r="B10" s="50" t="inlineStr">
        <is>
          <t>Withering Presence + Evergrasping Ring</t>
        </is>
      </c>
      <c r="C10" s="19" t="inlineStr">
        <is>
          <t>Ato 4–5 do Mattjestic: 2× Evergrasping Ring + Withering Presence.</t>
        </is>
      </c>
      <c r="D10" s="19" t="inlineStr">
        <is>
          <t>O anel faz os aliados ganharem 15–25% do dano como chaos extra; o Wither faz os inimigos receberem mais chaos. Juntos se multiplicam. Sem o anel, o Wither é fraco.</t>
        </is>
      </c>
      <c r="E10" s="42" t="inlineStr">
        <is>
          <t>Eu tinha mandado tirar o Withering Presence — só vale tirar se não usar o anel.</t>
        </is>
      </c>
    </row>
    <row r="11" ht="34" customHeight="1">
      <c r="A11" s="23" t="n">
        <v>8</v>
      </c>
      <c r="B11" s="50" t="inlineStr">
        <is>
          <t>Sem Ball Lightning / Lightning Warp</t>
        </is>
      </c>
      <c r="C11" s="19" t="inlineStr">
        <is>
          <t>Nenhuma das 26 variantes usa.</t>
        </is>
      </c>
      <c r="D11" s="19" t="inlineStr">
        <is>
          <t>Eram mobilidade do jogador e não ajudam o macaco. O espaço vai para curse, marks, Pain Offering e Refutation.</t>
        </is>
      </c>
      <c r="E11" s="42" t="inlineStr">
        <is>
          <t>O guia antigo usava.</t>
        </is>
      </c>
    </row>
    <row r="12" ht="49" customHeight="1">
      <c r="A12" s="23" t="n">
        <v>9</v>
      </c>
      <c r="B12" s="50" t="inlineStr">
        <is>
          <t>Mace Strike + Einhar's Beastrite não é dano</t>
        </is>
      </c>
      <c r="C12" s="19" t="inlineStr">
        <is>
          <t>Variantes endgame (13–24).</t>
        </is>
      </c>
      <c r="D12" s="19" t="inlineStr">
        <is>
          <t>O Mace Strike vem da própria Chober. Com Einhar's Beastrite ele só finaliza inimigos com vida baixa, e cada raro finalizado te dá 2 modificadores dele por 300 s (Haste, Extra Damage…).</t>
        </is>
      </c>
      <c r="E12" s="42" t="inlineStr"/>
    </row>
    <row r="13" ht="64" customHeight="1">
      <c r="A13" s="23" t="n">
        <v>10</v>
      </c>
      <c r="B13" s="50" t="inlineStr">
        <is>
          <t>Refutation + itens Runeforged</t>
        </is>
      </c>
      <c r="C13" s="19" t="inlineStr">
        <is>
          <t>Do mapping T1–10 ao endgame.</t>
        </is>
      </c>
      <c r="D13" s="19" t="inlineStr">
        <is>
          <t>Refutation gasta todo o seu Runic Ward para bloquear todos os hits por um tempo. Runic Ward vem de armaduras Runeforged/Runemastered — é por isso que as armaduras do Mattjestic são Runeforged.</t>
        </is>
      </c>
      <c r="E13" s="42" t="inlineStr"/>
    </row>
    <row r="14" ht="64" customHeight="1">
      <c r="A14" s="23" t="n">
        <v>11</v>
      </c>
      <c r="B14" s="50" t="inlineStr">
        <is>
          <t>Aura bots baratos em Spirit</t>
        </is>
      </c>
      <c r="C14" s="19" t="inlineStr">
        <is>
          <t>Tier-list do Mattjestic (0.5).</t>
        </is>
      </c>
      <c r="D14" s="19" t="inlineStr">
        <is>
          <t>Com Sylvan's Effigy, o objetivo são 2–3 auras T1 (antes dele só cabe 1) (Physical/Haste &gt; ES/Invulnerability &gt; Temporal Bubble &gt; Elemental Res) em beasts de 21–25% de Spirit: Swarming Wisp, Crag Leaper, Quill/Coconut Crab.</t>
        </is>
      </c>
      <c r="E14" s="42" t="inlineStr">
        <is>
          <t>Beasts de 40%+ de Spirit.</t>
        </is>
      </c>
    </row>
    <row r="16" ht="22" customHeight="1">
      <c r="A16" s="13" t="inlineStr">
        <is>
          <t>BODY ARMOUR  (% de uso)</t>
        </is>
      </c>
      <c r="B16" s="14" t="n"/>
      <c r="C16" s="14" t="n"/>
      <c r="D16" s="14" t="n"/>
      <c r="E16" s="14" t="n"/>
    </row>
    <row r="17">
      <c r="B17" s="52" t="inlineStr">
        <is>
          <t>Forgotten Warden</t>
        </is>
      </c>
      <c r="C17" s="53" t="n">
        <v>0.8</v>
      </c>
    </row>
    <row r="18">
      <c r="B18" s="52" t="inlineStr">
        <is>
          <t>Morior Invictus</t>
        </is>
      </c>
      <c r="C18" s="53" t="n">
        <v>0.11</v>
      </c>
    </row>
    <row r="19">
      <c r="B19" s="52" t="inlineStr">
        <is>
          <t>Rare</t>
        </is>
      </c>
      <c r="C19" s="53" t="n">
        <v>0.06</v>
      </c>
    </row>
    <row r="21" ht="22" customHeight="1">
      <c r="A21" s="13" t="inlineStr">
        <is>
          <t>MAIN-HAND  (% de uso)</t>
        </is>
      </c>
      <c r="B21" s="14" t="n"/>
      <c r="C21" s="14" t="n"/>
      <c r="D21" s="14" t="n"/>
      <c r="E21" s="14" t="n"/>
    </row>
    <row r="22">
      <c r="B22" s="52" t="inlineStr">
        <is>
          <t>Tyranny's Grip</t>
        </is>
      </c>
      <c r="C22" s="53" t="n">
        <v>0.39</v>
      </c>
    </row>
    <row r="23">
      <c r="B23" s="52" t="inlineStr">
        <is>
          <t>Trenchtimbre</t>
        </is>
      </c>
      <c r="C23" s="53" t="n">
        <v>0.26</v>
      </c>
    </row>
    <row r="24">
      <c r="B24" s="52" t="inlineStr">
        <is>
          <t>Chober Chaber</t>
        </is>
      </c>
      <c r="C24" s="53" t="n">
        <v>0.24</v>
      </c>
    </row>
    <row r="25">
      <c r="B25" s="52" t="inlineStr">
        <is>
          <t>The Hammer of Faith</t>
        </is>
      </c>
      <c r="C25" s="53" t="n">
        <v>0.06</v>
      </c>
    </row>
    <row r="27" ht="22" customHeight="1">
      <c r="A27" s="13" t="inlineStr">
        <is>
          <t>CONFIGURAÇÃO DE ARMAS  (% de uso)</t>
        </is>
      </c>
      <c r="B27" s="14" t="n"/>
      <c r="C27" s="14" t="n"/>
      <c r="D27" s="14" t="n"/>
      <c r="E27" s="14" t="n"/>
    </row>
    <row r="28">
      <c r="B28" s="52" t="inlineStr">
        <is>
          <t>Arma 1 mão / Sceptre</t>
        </is>
      </c>
      <c r="C28" s="53" t="n">
        <v>0.62</v>
      </c>
    </row>
    <row r="29">
      <c r="B29" s="52" t="inlineStr">
        <is>
          <t>Maça 2 mãos / Sceptre (Giant's Blood)</t>
        </is>
      </c>
      <c r="C29" s="53" t="n">
        <v>0.32</v>
      </c>
    </row>
    <row r="30">
      <c r="B30" s="52" t="inlineStr">
        <is>
          <t>Spear / Sceptre</t>
        </is>
      </c>
      <c r="C30" s="53" t="n">
        <v>0.02</v>
      </c>
    </row>
    <row r="32" ht="22" customHeight="1">
      <c r="A32" s="13" t="inlineStr">
        <is>
          <t>KEYSTONES  (% de uso)</t>
        </is>
      </c>
      <c r="B32" s="14" t="n"/>
      <c r="C32" s="14" t="n"/>
      <c r="D32" s="14" t="n"/>
      <c r="E32" s="14" t="n"/>
    </row>
    <row r="33">
      <c r="B33" s="52" t="inlineStr">
        <is>
          <t>Trusted Kinship</t>
        </is>
      </c>
      <c r="C33" s="53" t="n">
        <v>0.99</v>
      </c>
    </row>
    <row r="34">
      <c r="B34" s="52" t="inlineStr">
        <is>
          <t>Giant's Blood</t>
        </is>
      </c>
      <c r="C34" s="53" t="n">
        <v>0.34</v>
      </c>
    </row>
    <row r="35">
      <c r="B35" s="52" t="inlineStr">
        <is>
          <t>Mind Over Matter</t>
        </is>
      </c>
      <c r="C35" s="53" t="n">
        <v>0.27</v>
      </c>
    </row>
    <row r="36">
      <c r="B36" s="52" t="inlineStr">
        <is>
          <t>Iron Reflexes</t>
        </is>
      </c>
      <c r="C36" s="53" t="n">
        <v>0.04</v>
      </c>
    </row>
    <row r="37">
      <c r="B37" s="52" t="inlineStr">
        <is>
          <t>Chaos Inoculation</t>
        </is>
      </c>
      <c r="C37" s="53" t="n">
        <v>0.02</v>
      </c>
    </row>
    <row r="39" ht="22" customHeight="1">
      <c r="A39" s="13" t="inlineStr">
        <is>
          <t>ASCENDÊNCIA  (% de uso)</t>
        </is>
      </c>
      <c r="B39" s="14" t="n"/>
      <c r="C39" s="14" t="n"/>
      <c r="D39" s="14" t="n"/>
      <c r="E39" s="14" t="n"/>
    </row>
    <row r="40">
      <c r="B40" s="52" t="inlineStr">
        <is>
          <t>The Natural Order</t>
        </is>
      </c>
      <c r="C40" s="53" t="n">
        <v>1</v>
      </c>
    </row>
    <row r="41">
      <c r="B41" s="52" t="inlineStr">
        <is>
          <t>Wild Protector</t>
        </is>
      </c>
      <c r="C41" s="53" t="n">
        <v>0.99</v>
      </c>
    </row>
    <row r="42">
      <c r="B42" s="52" t="inlineStr">
        <is>
          <t>The Catha's Balance</t>
        </is>
      </c>
      <c r="C42" s="53" t="n">
        <v>0.97</v>
      </c>
    </row>
    <row r="43">
      <c r="B43" s="52" t="inlineStr">
        <is>
          <t>Idolatry</t>
        </is>
      </c>
      <c r="C43" s="53" t="n">
        <v>0.86</v>
      </c>
    </row>
    <row r="45" ht="22" customHeight="1">
      <c r="A45" s="13" t="inlineStr">
        <is>
          <t>COMPANIONS (SKILLS PRINCIPAIS)  (% de uso)</t>
        </is>
      </c>
      <c r="B45" s="14" t="n"/>
      <c r="C45" s="14" t="n"/>
      <c r="D45" s="14" t="n"/>
      <c r="E45" s="14" t="n"/>
    </row>
    <row r="46">
      <c r="B46" s="52" t="inlineStr">
        <is>
          <t>Wild Protector</t>
        </is>
      </c>
      <c r="C46" s="53" t="n">
        <v>0.99</v>
      </c>
    </row>
    <row r="47">
      <c r="B47" s="52" t="inlineStr">
        <is>
          <t>Azmerian Wolf</t>
        </is>
      </c>
      <c r="C47" s="53" t="n">
        <v>0.97</v>
      </c>
    </row>
    <row r="48">
      <c r="B48" s="52" t="inlineStr">
        <is>
          <t>Wolf Pack</t>
        </is>
      </c>
      <c r="C48" s="53" t="n">
        <v>0.84</v>
      </c>
    </row>
    <row r="49">
      <c r="B49" s="52" t="inlineStr">
        <is>
          <t>Zekoa, the Headcrusher</t>
        </is>
      </c>
      <c r="C49" s="53" t="n">
        <v>0.72</v>
      </c>
    </row>
    <row r="50">
      <c r="B50" s="52" t="inlineStr">
        <is>
          <t>Diretusk Boar</t>
        </is>
      </c>
      <c r="C50" s="53" t="n">
        <v>0.4</v>
      </c>
    </row>
    <row r="51">
      <c r="B51" s="52" t="inlineStr">
        <is>
          <t>Plague Harvester</t>
        </is>
      </c>
      <c r="C51" s="53" t="n">
        <v>0.29</v>
      </c>
    </row>
    <row r="52">
      <c r="B52" s="52" t="inlineStr">
        <is>
          <t>Quadrilla</t>
        </is>
      </c>
      <c r="C52" s="53" t="n">
        <v>0.26</v>
      </c>
    </row>
    <row r="53">
      <c r="B53" s="52" t="inlineStr">
        <is>
          <t>Mighty Silverfist</t>
        </is>
      </c>
      <c r="C53" s="53" t="n">
        <v>0.23</v>
      </c>
    </row>
    <row r="54">
      <c r="B54" s="52" t="inlineStr">
        <is>
          <t>Quill Crab</t>
        </is>
      </c>
      <c r="C54" s="53" t="n">
        <v>0.17</v>
      </c>
    </row>
    <row r="56" ht="22" customHeight="1">
      <c r="A56" s="13" t="inlineStr">
        <is>
          <t>SKILLS DE SPIRIT  (% de uso)</t>
        </is>
      </c>
      <c r="B56" s="14" t="n"/>
      <c r="C56" s="14" t="n"/>
      <c r="D56" s="14" t="n"/>
      <c r="E56" s="14" t="n"/>
    </row>
    <row r="57">
      <c r="B57" s="52" t="inlineStr">
        <is>
          <t>Discipline</t>
        </is>
      </c>
      <c r="C57" s="53" t="n">
        <v>1</v>
      </c>
    </row>
    <row r="58">
      <c r="B58" s="52" t="inlineStr">
        <is>
          <t>Spirit Vessel</t>
        </is>
      </c>
      <c r="C58" s="53" t="n">
        <v>0.8</v>
      </c>
    </row>
    <row r="59">
      <c r="B59" s="52" t="inlineStr">
        <is>
          <t>Skeletal Cleric</t>
        </is>
      </c>
      <c r="C59" s="53" t="n">
        <v>0.29</v>
      </c>
    </row>
    <row r="60">
      <c r="B60" s="52" t="inlineStr">
        <is>
          <t>Ghost Dance</t>
        </is>
      </c>
      <c r="C60" s="53" t="n">
        <v>0.24</v>
      </c>
    </row>
    <row r="62" ht="22" customHeight="1">
      <c r="A62" s="13" t="inlineStr">
        <is>
          <t>SUPPORTS MAIS USADOS  (% de uso)</t>
        </is>
      </c>
      <c r="B62" s="14" t="n"/>
      <c r="C62" s="14" t="n"/>
      <c r="D62" s="14" t="n"/>
      <c r="E62" s="14" t="n"/>
    </row>
    <row r="63">
      <c r="B63" s="52" t="inlineStr">
        <is>
          <t>Muster</t>
        </is>
      </c>
      <c r="C63" s="53" t="n">
        <v>0.98</v>
      </c>
    </row>
    <row r="64">
      <c r="B64" s="52" t="inlineStr">
        <is>
          <t>Rapid Attacks II</t>
        </is>
      </c>
      <c r="C64" s="53" t="n">
        <v>0.97</v>
      </c>
    </row>
    <row r="65">
      <c r="B65" s="52" t="inlineStr">
        <is>
          <t>Loyalty</t>
        </is>
      </c>
      <c r="C65" s="53" t="n">
        <v>0.96</v>
      </c>
    </row>
    <row r="66">
      <c r="B66" s="52" t="inlineStr">
        <is>
          <t>Feeding Frenzy II</t>
        </is>
      </c>
      <c r="C66" s="53" t="n">
        <v>0.93</v>
      </c>
    </row>
    <row r="67">
      <c r="B67" s="52" t="inlineStr">
        <is>
          <t>Rage III</t>
        </is>
      </c>
      <c r="C67" s="53" t="n">
        <v>0.91</v>
      </c>
    </row>
    <row r="68">
      <c r="B68" s="52" t="inlineStr">
        <is>
          <t>Romira's Requital</t>
        </is>
      </c>
      <c r="C68" s="53" t="n">
        <v>0.6899999999999999</v>
      </c>
    </row>
    <row r="70" ht="22" customHeight="1">
      <c r="A70" s="13" t="inlineStr">
        <is>
          <t>ANOINTS DE AMULETO  (% de uso)</t>
        </is>
      </c>
      <c r="B70" s="14" t="n"/>
      <c r="C70" s="14" t="n"/>
      <c r="D70" s="14" t="n"/>
      <c r="E70" s="14" t="n"/>
    </row>
    <row r="71">
      <c r="B71" s="52" t="inlineStr">
        <is>
          <t>Warlord Leader</t>
        </is>
      </c>
      <c r="C71" s="53" t="n">
        <v>0.2</v>
      </c>
    </row>
    <row r="72">
      <c r="B72" s="52" t="inlineStr">
        <is>
          <t>Gigantic Following</t>
        </is>
      </c>
      <c r="C72" s="53" t="n">
        <v>0.13</v>
      </c>
    </row>
    <row r="73">
      <c r="B73" s="52" t="inlineStr">
        <is>
          <t>The Soul Meridian</t>
        </is>
      </c>
      <c r="C73" s="53" t="n">
        <v>0.11</v>
      </c>
    </row>
    <row r="74">
      <c r="B74" s="52" t="inlineStr">
        <is>
          <t>Relentless Fallen</t>
        </is>
      </c>
      <c r="C74" s="53" t="n">
        <v>0.05</v>
      </c>
    </row>
    <row r="75">
      <c r="B75" s="52" t="inlineStr">
        <is>
          <t>Lord of Horrors</t>
        </is>
      </c>
      <c r="C75" s="53" t="n">
        <v>0.04</v>
      </c>
    </row>
    <row r="76">
      <c r="B76" s="52" t="inlineStr">
        <is>
          <t>Vile Mending</t>
        </is>
      </c>
      <c r="C76" s="53" t="n">
        <v>0.03</v>
      </c>
    </row>
    <row r="78" ht="22" customHeight="1">
      <c r="A78" s="13" t="inlineStr">
        <is>
          <t>CHARMS / FLASKS ÚNICOS  (% de uso)</t>
        </is>
      </c>
      <c r="B78" s="14" t="n"/>
      <c r="C78" s="14" t="n"/>
      <c r="D78" s="14" t="n"/>
      <c r="E78" s="14" t="n"/>
    </row>
    <row r="79">
      <c r="B79" s="52" t="inlineStr">
        <is>
          <t>Beira's Anguish</t>
        </is>
      </c>
      <c r="C79" s="53" t="n">
        <v>0.43</v>
      </c>
    </row>
    <row r="80">
      <c r="B80" s="52" t="inlineStr">
        <is>
          <t>Nascent Hope</t>
        </is>
      </c>
      <c r="C80" s="53" t="n">
        <v>0.33</v>
      </c>
    </row>
    <row r="81">
      <c r="B81" s="52" t="inlineStr">
        <is>
          <t>Sanguis Heroum</t>
        </is>
      </c>
      <c r="C81" s="53" t="n">
        <v>0.26</v>
      </c>
    </row>
    <row r="82">
      <c r="B82" s="52" t="inlineStr">
        <is>
          <t>Lavianga's Spirits</t>
        </is>
      </c>
      <c r="C82" s="53" t="n">
        <v>0.25</v>
      </c>
    </row>
    <row r="83">
      <c r="B83" s="52" t="inlineStr">
        <is>
          <t>Arakaali's Gift</t>
        </is>
      </c>
      <c r="C83" s="53" t="n">
        <v>0.22</v>
      </c>
    </row>
    <row r="84">
      <c r="B84" s="52" t="inlineStr">
        <is>
          <t>The Fall of the Axe</t>
        </is>
      </c>
      <c r="C84" s="53" t="n">
        <v>0.12</v>
      </c>
    </row>
    <row r="85">
      <c r="B85" s="52" t="inlineStr">
        <is>
          <t>Rite of Passage</t>
        </is>
      </c>
      <c r="C85" s="53" t="n">
        <v>0.1</v>
      </c>
    </row>
    <row r="87" ht="22" customHeight="1">
      <c r="A87" s="13" t="inlineStr">
        <is>
          <t>JEWELS ÚNICOS  (% de uso)</t>
        </is>
      </c>
      <c r="B87" s="14" t="n"/>
      <c r="C87" s="14" t="n"/>
      <c r="D87" s="14" t="n"/>
      <c r="E87" s="14" t="n"/>
    </row>
    <row r="88">
      <c r="B88" s="52" t="inlineStr">
        <is>
          <t>From Nothing</t>
        </is>
      </c>
      <c r="C88" s="53" t="n">
        <v>0.21</v>
      </c>
    </row>
    <row r="89">
      <c r="B89" s="52" t="inlineStr">
        <is>
          <t>Prism of Belief</t>
        </is>
      </c>
      <c r="C89" s="53" t="n">
        <v>0.08</v>
      </c>
    </row>
    <row r="90">
      <c r="B90" s="52" t="inlineStr">
        <is>
          <t>Megalomaniac</t>
        </is>
      </c>
      <c r="C90" s="53" t="n">
        <v>0.07000000000000001</v>
      </c>
    </row>
    <row r="91">
      <c r="B91" s="52" t="inlineStr">
        <is>
          <t>Heart of the Well</t>
        </is>
      </c>
      <c r="C91" s="53" t="n">
        <v>0.07000000000000001</v>
      </c>
    </row>
    <row r="93" ht="22" customHeight="1">
      <c r="A93" s="13" t="inlineStr">
        <is>
          <t>ANÉIS ÚNICOS  (% de uso)</t>
        </is>
      </c>
      <c r="B93" s="14" t="n"/>
      <c r="C93" s="14" t="n"/>
      <c r="D93" s="14" t="n"/>
      <c r="E93" s="14" t="n"/>
    </row>
    <row r="94">
      <c r="B94" s="52" t="inlineStr">
        <is>
          <t>Ventor's Gamble</t>
        </is>
      </c>
      <c r="C94" s="53" t="n">
        <v>0.07000000000000001</v>
      </c>
    </row>
    <row r="95">
      <c r="B95" s="52" t="inlineStr">
        <is>
          <t>Kalandra's Touch</t>
        </is>
      </c>
      <c r="C95" s="53" t="n">
        <v>0.06</v>
      </c>
    </row>
    <row r="96">
      <c r="B96" s="52" t="inlineStr">
        <is>
          <t>Andvarius</t>
        </is>
      </c>
      <c r="C96" s="53" t="n">
        <v>0.04</v>
      </c>
    </row>
    <row r="97">
      <c r="B97" s="52" t="inlineStr">
        <is>
          <t>Eshtera's Path</t>
        </is>
      </c>
      <c r="C97" s="53" t="n">
        <v>0.03</v>
      </c>
    </row>
    <row r="99" ht="22" customHeight="1">
      <c r="A99" s="13" t="inlineStr">
        <is>
          <t>SUPPORTS NO ZEKOA  (% de uso)</t>
        </is>
      </c>
      <c r="B99" s="14" t="n"/>
      <c r="C99" s="14" t="n"/>
      <c r="D99" s="14" t="n"/>
      <c r="E99" s="14" t="n"/>
    </row>
    <row r="100">
      <c r="B100" s="52" t="inlineStr">
        <is>
          <t>Muster</t>
        </is>
      </c>
      <c r="C100" s="53" t="n">
        <v>0.93</v>
      </c>
    </row>
    <row r="101">
      <c r="B101" s="52" t="inlineStr">
        <is>
          <t>Feeding Frenzy II</t>
        </is>
      </c>
      <c r="C101" s="53" t="n">
        <v>0.86</v>
      </c>
    </row>
    <row r="102">
      <c r="B102" s="52" t="inlineStr">
        <is>
          <t>Rapid Attacks II</t>
        </is>
      </c>
      <c r="C102" s="53" t="n">
        <v>0.86</v>
      </c>
    </row>
    <row r="103">
      <c r="B103" s="52" t="inlineStr">
        <is>
          <t>Rage III</t>
        </is>
      </c>
      <c r="C103" s="53" t="n">
        <v>0.75</v>
      </c>
    </row>
    <row r="105" ht="22" customHeight="1">
      <c r="A105" s="13" t="inlineStr">
        <is>
          <t>NOTABLES MAIS COMUNS (24 ZOOS TOP)  (% de uso)</t>
        </is>
      </c>
      <c r="B105" s="14" t="n"/>
      <c r="C105" s="14" t="n"/>
      <c r="D105" s="14" t="n"/>
      <c r="E105" s="14" t="n"/>
    </row>
    <row r="106">
      <c r="B106" s="52" t="inlineStr">
        <is>
          <t>Bond of the Wolf</t>
        </is>
      </c>
      <c r="C106" s="53" t="n">
        <v>0.92</v>
      </c>
    </row>
    <row r="107">
      <c r="B107" s="52" t="inlineStr">
        <is>
          <t>Inspiring Ally</t>
        </is>
      </c>
      <c r="C107" s="53" t="n">
        <v>0.88</v>
      </c>
    </row>
    <row r="108">
      <c r="B108" s="52" t="inlineStr">
        <is>
          <t>Bond of the Mamba</t>
        </is>
      </c>
      <c r="C108" s="53" t="n">
        <v>0.88</v>
      </c>
    </row>
    <row r="109">
      <c r="B109" s="52" t="inlineStr">
        <is>
          <t>Long Distance Relationship</t>
        </is>
      </c>
      <c r="C109" s="53" t="n">
        <v>0.75</v>
      </c>
    </row>
    <row r="110">
      <c r="B110" s="52" t="inlineStr">
        <is>
          <t>Lord of Horrors</t>
        </is>
      </c>
      <c r="C110" s="53" t="n">
        <v>0.75</v>
      </c>
    </row>
    <row r="111">
      <c r="B111" s="52" t="inlineStr">
        <is>
          <t>Blur</t>
        </is>
      </c>
      <c r="C111" s="53" t="n">
        <v>0.75</v>
      </c>
    </row>
    <row r="112">
      <c r="B112" s="52" t="inlineStr">
        <is>
          <t>The Soul Meridian</t>
        </is>
      </c>
      <c r="C112" s="53" t="n">
        <v>0.71</v>
      </c>
    </row>
    <row r="113">
      <c r="B113" s="52" t="inlineStr">
        <is>
          <t>Entropic Incarnation</t>
        </is>
      </c>
      <c r="C113" s="53" t="n">
        <v>0.67</v>
      </c>
    </row>
    <row r="114">
      <c r="B114" s="52" t="inlineStr">
        <is>
          <t>Grip of Evil</t>
        </is>
      </c>
      <c r="C114" s="53" t="n">
        <v>0.67</v>
      </c>
    </row>
    <row r="115">
      <c r="B115" s="52" t="inlineStr">
        <is>
          <t>Unspoken Bond</t>
        </is>
      </c>
      <c r="C115" s="53" t="n">
        <v>0.67</v>
      </c>
    </row>
    <row r="116">
      <c r="B116" s="52" t="inlineStr">
        <is>
          <t>Gigantic Following</t>
        </is>
      </c>
      <c r="C116" s="53" t="n">
        <v>0.67</v>
      </c>
    </row>
    <row r="117">
      <c r="B117" s="52" t="inlineStr">
        <is>
          <t>Bond of the Cat</t>
        </is>
      </c>
      <c r="C117" s="53" t="n">
        <v>0.58</v>
      </c>
    </row>
    <row r="118">
      <c r="B118" s="52" t="inlineStr">
        <is>
          <t>Vile Mending</t>
        </is>
      </c>
      <c r="C118" s="53" t="n">
        <v>0.54</v>
      </c>
    </row>
    <row r="119">
      <c r="B119" s="52" t="inlineStr">
        <is>
          <t>Bond of the Ape</t>
        </is>
      </c>
      <c r="C119" s="53" t="n">
        <v>0.5</v>
      </c>
    </row>
    <row r="120">
      <c r="B120" s="52" t="inlineStr">
        <is>
          <t>Crystallised Immunities</t>
        </is>
      </c>
      <c r="C120" s="53" t="n">
        <v>0.42</v>
      </c>
    </row>
    <row r="121">
      <c r="B121" s="52" t="inlineStr">
        <is>
          <t>Sturdy Ally</t>
        </is>
      </c>
      <c r="C121" s="53" t="n">
        <v>0.42</v>
      </c>
    </row>
    <row r="122">
      <c r="B122" s="52" t="inlineStr">
        <is>
          <t>Captivating Companionship</t>
        </is>
      </c>
      <c r="C122" s="53" t="n">
        <v>0.38</v>
      </c>
    </row>
    <row r="123">
      <c r="B123" s="52" t="inlineStr">
        <is>
          <t>Right Hand of Darkness</t>
        </is>
      </c>
      <c r="C123" s="53" t="n">
        <v>0.33</v>
      </c>
    </row>
  </sheetData>
  <mergeCells count="16">
    <mergeCell ref="A21:E21"/>
    <mergeCell ref="A39:E39"/>
    <mergeCell ref="A105:E105"/>
    <mergeCell ref="A87:E87"/>
    <mergeCell ref="A62:E62"/>
    <mergeCell ref="A78:E78"/>
    <mergeCell ref="A2:E2"/>
    <mergeCell ref="A16:E16"/>
    <mergeCell ref="A99:E99"/>
    <mergeCell ref="A1:E1"/>
    <mergeCell ref="A45:E45"/>
    <mergeCell ref="A32:E32"/>
    <mergeCell ref="A93:E93"/>
    <mergeCell ref="A70:E70"/>
    <mergeCell ref="A56:E56"/>
    <mergeCell ref="A27:E27"/>
  </mergeCells>
  <conditionalFormatting sqref="C17:C19">
    <cfRule type="dataBar" priority="1">
      <dataBar>
        <cfvo type="num" val="0"/>
        <cfvo type="num" val="1"/>
        <color rgb="00C98E2B"/>
      </dataBar>
    </cfRule>
  </conditionalFormatting>
  <conditionalFormatting sqref="C22:C25">
    <cfRule type="dataBar" priority="2">
      <dataBar>
        <cfvo type="num" val="0"/>
        <cfvo type="num" val="1"/>
        <color rgb="00C98E2B"/>
      </dataBar>
    </cfRule>
  </conditionalFormatting>
  <conditionalFormatting sqref="C28:C30">
    <cfRule type="dataBar" priority="3">
      <dataBar>
        <cfvo type="num" val="0"/>
        <cfvo type="num" val="1"/>
        <color rgb="00C98E2B"/>
      </dataBar>
    </cfRule>
  </conditionalFormatting>
  <conditionalFormatting sqref="C33:C37">
    <cfRule type="dataBar" priority="4">
      <dataBar>
        <cfvo type="num" val="0"/>
        <cfvo type="num" val="1"/>
        <color rgb="00C98E2B"/>
      </dataBar>
    </cfRule>
  </conditionalFormatting>
  <conditionalFormatting sqref="C40:C43">
    <cfRule type="dataBar" priority="5">
      <dataBar>
        <cfvo type="num" val="0"/>
        <cfvo type="num" val="1"/>
        <color rgb="00C98E2B"/>
      </dataBar>
    </cfRule>
  </conditionalFormatting>
  <conditionalFormatting sqref="C46:C54">
    <cfRule type="dataBar" priority="6">
      <dataBar>
        <cfvo type="num" val="0"/>
        <cfvo type="num" val="1"/>
        <color rgb="00C98E2B"/>
      </dataBar>
    </cfRule>
  </conditionalFormatting>
  <conditionalFormatting sqref="C57:C60">
    <cfRule type="dataBar" priority="7">
      <dataBar>
        <cfvo type="num" val="0"/>
        <cfvo type="num" val="1"/>
        <color rgb="00C98E2B"/>
      </dataBar>
    </cfRule>
  </conditionalFormatting>
  <conditionalFormatting sqref="C63:C68">
    <cfRule type="dataBar" priority="8">
      <dataBar>
        <cfvo type="num" val="0"/>
        <cfvo type="num" val="1"/>
        <color rgb="00C98E2B"/>
      </dataBar>
    </cfRule>
  </conditionalFormatting>
  <conditionalFormatting sqref="C71:C76">
    <cfRule type="dataBar" priority="9">
      <dataBar>
        <cfvo type="num" val="0"/>
        <cfvo type="num" val="1"/>
        <color rgb="00C98E2B"/>
      </dataBar>
    </cfRule>
  </conditionalFormatting>
  <conditionalFormatting sqref="C79:C85">
    <cfRule type="dataBar" priority="10">
      <dataBar>
        <cfvo type="num" val="0"/>
        <cfvo type="num" val="1"/>
        <color rgb="00C98E2B"/>
      </dataBar>
    </cfRule>
  </conditionalFormatting>
  <conditionalFormatting sqref="C88:C91">
    <cfRule type="dataBar" priority="11">
      <dataBar>
        <cfvo type="num" val="0"/>
        <cfvo type="num" val="1"/>
        <color rgb="00C98E2B"/>
      </dataBar>
    </cfRule>
  </conditionalFormatting>
  <conditionalFormatting sqref="C94:C97">
    <cfRule type="dataBar" priority="12">
      <dataBar>
        <cfvo type="num" val="0"/>
        <cfvo type="num" val="1"/>
        <color rgb="00C98E2B"/>
      </dataBar>
    </cfRule>
  </conditionalFormatting>
  <conditionalFormatting sqref="C100:C103">
    <cfRule type="dataBar" priority="13">
      <dataBar>
        <cfvo type="num" val="0"/>
        <cfvo type="num" val="1"/>
        <color rgb="00C98E2B"/>
      </dataBar>
    </cfRule>
  </conditionalFormatting>
  <conditionalFormatting sqref="C106:C123">
    <cfRule type="dataBar" priority="14">
      <dataBar>
        <cfvo type="num" val="0"/>
        <cfvo type="num" val="1"/>
        <color rgb="00C98E2B"/>
      </dataBar>
    </cfRule>
  </conditionalFormatting>
  <pageMargins left="0.75" right="0.75" top="1" bottom="1" header="0.5" footer="0.5"/>
</worksheet>
</file>

<file path=xl/worksheets/sheet15.xml><?xml version="1.0" encoding="utf-8"?>
<worksheet xmlns="http://schemas.openxmlformats.org/spreadsheetml/2006/main">
  <sheetPr>
    <tabColor rgb="00C98E2B"/>
    <outlinePr summaryBelow="1" summaryRight="1"/>
    <pageSetUpPr/>
  </sheetPr>
  <dimension ref="A1:J59"/>
  <sheetViews>
    <sheetView showGridLines="0" zoomScale="100" workbookViewId="0">
      <pane xSplit="2" ySplit="3" topLeftCell="C4" activePane="bottomRight" state="frozen"/>
      <selection pane="topRight"/>
      <selection pane="bottomLeft"/>
      <selection pane="bottomRight" activeCell="A1" sqref="A1"/>
    </sheetView>
  </sheetViews>
  <sheetFormatPr baseColWidth="8" defaultRowHeight="15"/>
  <cols>
    <col width="7" customWidth="1" min="1" max="1"/>
    <col width="24" customWidth="1" min="2" max="2"/>
    <col width="20" customWidth="1" min="3" max="3"/>
    <col width="11" customWidth="1" min="4" max="4"/>
    <col width="11" customWidth="1" min="5" max="5"/>
    <col width="11" customWidth="1" min="6" max="6"/>
    <col width="16" customWidth="1" min="7" max="7"/>
    <col width="50" customWidth="1" min="8" max="8"/>
    <col width="46" customWidth="1" min="9" max="9"/>
    <col width="40" customWidth="1" min="10" max="10"/>
  </cols>
  <sheetData>
    <row r="1" ht="34" customHeight="1">
      <c r="A1" s="1" t="inlineStr">
        <is>
          <t>UNIQUES DA BUILD — preço real, uso no meta e quando entram</t>
        </is>
      </c>
      <c r="B1" s="2" t="n"/>
      <c r="C1" s="2" t="n"/>
      <c r="D1" s="2" t="n"/>
      <c r="E1" s="2" t="n"/>
      <c r="F1" s="2" t="n"/>
      <c r="G1" s="2" t="n"/>
      <c r="H1" s="2" t="n"/>
      <c r="I1" s="2" t="n"/>
      <c r="J1" s="2" t="n"/>
    </row>
    <row r="2" ht="30" customHeight="1">
      <c r="A2" s="3" t="inlineStr">
        <is>
          <t>Preços em Divine Orb (1 div ≈ 353 Exalted) no poe.ninja em 15/09/2026. 'Uso' = % dos zoos com Sylvan's Effigy. Filtre por Fase/Faixa.</t>
        </is>
      </c>
      <c r="B2" s="2" t="n"/>
      <c r="C2" s="2" t="n"/>
      <c r="D2" s="2" t="n"/>
      <c r="E2" s="2" t="n"/>
      <c r="F2" s="2" t="n"/>
      <c r="G2" s="2" t="n"/>
      <c r="H2" s="2" t="n"/>
      <c r="I2" s="2" t="n"/>
      <c r="J2" s="2" t="n"/>
    </row>
    <row r="3" ht="22" customHeight="1">
      <c r="A3" s="15" t="inlineStr"/>
      <c r="B3" s="15" t="inlineStr">
        <is>
          <t>Unique</t>
        </is>
      </c>
      <c r="C3" s="15" t="inlineStr">
        <is>
          <t>Slot</t>
        </is>
      </c>
      <c r="D3" s="15" t="inlineStr">
        <is>
          <t>Faixa</t>
        </is>
      </c>
      <c r="E3" s="15" t="inlineStr">
        <is>
          <t>Preço (div)</t>
        </is>
      </c>
      <c r="F3" s="15" t="inlineStr">
        <is>
          <t>Uso</t>
        </is>
      </c>
      <c r="G3" s="15" t="inlineStr">
        <is>
          <t>Fase</t>
        </is>
      </c>
      <c r="H3" s="15" t="inlineStr">
        <is>
          <t>Por quê</t>
        </is>
      </c>
      <c r="I3" s="15" t="inlineStr">
        <is>
          <t>Mods principais</t>
        </is>
      </c>
      <c r="J3" s="15" t="inlineStr">
        <is>
          <t>Como / versões</t>
        </is>
      </c>
    </row>
    <row r="4" ht="94" customHeight="1">
      <c r="A4" s="19" t="inlineStr"/>
      <c r="B4" s="54" t="inlineStr">
        <is>
          <t>Splinter of Lorrata</t>
        </is>
      </c>
      <c r="C4" s="19" t="inlineStr">
        <is>
          <t>Main-hand</t>
        </is>
      </c>
      <c r="D4" s="23" t="inlineStr">
        <is>
          <t>Barato</t>
        </is>
      </c>
      <c r="E4" s="55" t="n">
        <v>0.003</v>
      </c>
      <c r="F4" s="56" t="inlineStr">
        <is>
          <t>—</t>
        </is>
      </c>
      <c r="G4" s="19" t="inlineStr">
        <is>
          <t>Ato 1</t>
        </is>
      </c>
      <c r="H4" s="19" t="inlineStr">
        <is>
          <t>Leveling nível 1: sempre envenena. Troque pelo Skysliver no 16.</t>
        </is>
      </c>
      <c r="I4" s="19" t="inlineStr">
        <is>
          <t>Adds (2-3) to (6-8) Physical Damage
Deal no Elemental Damage
20% increased Melee Strike Range with this weapon
Any number of Poisons from this Weapon can affect a target at the same time
Always Poison on Hit with this weapon</t>
        </is>
      </c>
      <c r="J4" s="19" t="inlineStr"/>
    </row>
    <row r="5" ht="64" customHeight="1">
      <c r="A5" s="19" t="inlineStr"/>
      <c r="B5" s="54" t="inlineStr">
        <is>
          <t>Foxshade</t>
        </is>
      </c>
      <c r="C5" s="19" t="inlineStr">
        <is>
          <t>Body Armour</t>
        </is>
      </c>
      <c r="D5" s="23" t="inlineStr">
        <is>
          <t>Barato</t>
        </is>
      </c>
      <c r="E5" s="55" t="n">
        <v>0.006</v>
      </c>
      <c r="F5" s="56" t="inlineStr">
        <is>
          <t>—</t>
        </is>
      </c>
      <c r="G5" s="19" t="inlineStr">
        <is>
          <t>Ato 1</t>
        </is>
      </c>
      <c r="H5" s="19" t="inlineStr">
        <is>
          <t>Leveling: +Evasion, +Dexterity e Movement Speed com vida cheia.</t>
        </is>
      </c>
      <c r="I5" s="19" t="inlineStr">
        <is>
          <t>+(50-70) to Evasion Rating
+(20-30) to Dexterity
10% increased Movement Speed when on Full Life
100% increased Evasion Rating when on Full Life</t>
        </is>
      </c>
      <c r="J5" s="19" t="inlineStr"/>
    </row>
    <row r="6" ht="79" customHeight="1">
      <c r="A6" s="19" t="inlineStr"/>
      <c r="B6" s="54" t="inlineStr">
        <is>
          <t>Surefooted Sigil</t>
        </is>
      </c>
      <c r="C6" s="19" t="inlineStr">
        <is>
          <t>Amuleto</t>
        </is>
      </c>
      <c r="D6" s="23" t="inlineStr">
        <is>
          <t>Barato</t>
        </is>
      </c>
      <c r="E6" s="55" t="n">
        <v>0.006</v>
      </c>
      <c r="F6" s="56" t="inlineStr">
        <is>
          <t>—</t>
        </is>
      </c>
      <c r="G6" s="19" t="inlineStr">
        <is>
          <t>Ato 1</t>
        </is>
      </c>
      <c r="H6" s="19" t="inlineStr">
        <is>
          <t>Leveling: vida, Dexterity e dodge roll maior.</t>
        </is>
      </c>
      <c r="I6" s="19" t="inlineStr">
        <is>
          <t>+(40-60) to maximum Life
+(5-15) to Dexterity
+1 metre to Dodge Roll distance
50% increased Evasion Rating if you've Dodge Rolled Recently</t>
        </is>
      </c>
      <c r="J6" s="19" t="inlineStr"/>
    </row>
    <row r="7" ht="79" customHeight="1">
      <c r="A7" s="19" t="inlineStr"/>
      <c r="B7" s="54" t="inlineStr">
        <is>
          <t>Blackheart</t>
        </is>
      </c>
      <c r="C7" s="19" t="inlineStr">
        <is>
          <t>Anel</t>
        </is>
      </c>
      <c r="D7" s="23" t="inlineStr">
        <is>
          <t>Barato</t>
        </is>
      </c>
      <c r="E7" s="55" t="n">
        <v>0.008999999999999999</v>
      </c>
      <c r="F7" s="56" t="inlineStr">
        <is>
          <t>—</t>
        </is>
      </c>
      <c r="G7" s="19" t="inlineStr">
        <is>
          <t>Ato 1</t>
        </is>
      </c>
      <c r="H7" s="19" t="inlineStr">
        <is>
          <t>Leveling: dano de chaos nos ataques, regen de vida e Intimidate. Use dois.</t>
        </is>
      </c>
      <c r="I7" s="19" t="inlineStr">
        <is>
          <t>(3-6) Life Regeneration per second
Adds (4-6) to (8-10) Chaos Damage to Attacks
+(10-20)% of Armour also applies to Chaos Damage
25% chance to Intimidate Enemies for 4 seconds on Hit</t>
        </is>
      </c>
      <c r="J7" s="19" t="inlineStr"/>
    </row>
    <row r="8" ht="64" customHeight="1">
      <c r="A8" s="19" t="inlineStr"/>
      <c r="B8" s="54" t="inlineStr">
        <is>
          <t>Wanderlust</t>
        </is>
      </c>
      <c r="C8" s="19" t="inlineStr">
        <is>
          <t>Botas</t>
        </is>
      </c>
      <c r="D8" s="23" t="inlineStr">
        <is>
          <t>Barato</t>
        </is>
      </c>
      <c r="E8" s="55" t="n">
        <v>0.014</v>
      </c>
      <c r="F8" s="56" t="inlineStr">
        <is>
          <t>—</t>
        </is>
      </c>
      <c r="G8" s="19" t="inlineStr">
        <is>
          <t>Ato 1</t>
        </is>
      </c>
      <c r="H8" s="19" t="inlineStr">
        <is>
          <t>Leveling: 20% Movement Speed e imune a Slow.</t>
        </is>
      </c>
      <c r="I8" s="19" t="inlineStr">
        <is>
          <t>20% increased Movement Speed
+(10-20) to maximum Energy Shield
+5 to Dexterity
Your speed is unaffected by Slows</t>
        </is>
      </c>
      <c r="J8" s="19" t="inlineStr"/>
    </row>
    <row r="9" ht="56" customHeight="1">
      <c r="A9" s="19" t="inlineStr"/>
      <c r="B9" s="54" t="inlineStr">
        <is>
          <t>Goldrim</t>
        </is>
      </c>
      <c r="C9" s="19" t="inlineStr">
        <is>
          <t>Capacete</t>
        </is>
      </c>
      <c r="D9" s="23" t="inlineStr">
        <is>
          <t>Barato</t>
        </is>
      </c>
      <c r="E9" s="55" t="n">
        <v>0.028</v>
      </c>
      <c r="F9" s="56" t="inlineStr">
        <is>
          <t>—</t>
        </is>
      </c>
      <c r="G9" s="19" t="inlineStr">
        <is>
          <t>Ato 1</t>
        </is>
      </c>
      <c r="H9" s="19" t="inlineStr">
        <is>
          <t>Leveling: +25–35% todas as resistências.</t>
        </is>
      </c>
      <c r="I9" s="19" t="inlineStr">
        <is>
          <t>+(30-50) to Evasion Rating
10% increased Rarity of Items found
+(25-33)% to all Elemental Resistances</t>
        </is>
      </c>
      <c r="J9" s="19" t="inlineStr"/>
    </row>
    <row r="10" ht="64" customHeight="1">
      <c r="A10" s="19" t="inlineStr"/>
      <c r="B10" s="54" t="inlineStr">
        <is>
          <t>Meginord's Girdle</t>
        </is>
      </c>
      <c r="C10" s="19" t="inlineStr">
        <is>
          <t>Cinto</t>
        </is>
      </c>
      <c r="D10" s="23" t="inlineStr">
        <is>
          <t>Barato</t>
        </is>
      </c>
      <c r="E10" s="55" t="n">
        <v>0.008999999999999999</v>
      </c>
      <c r="F10" s="56" t="inlineStr">
        <is>
          <t>—</t>
        </is>
      </c>
      <c r="G10" s="19" t="inlineStr">
        <is>
          <t>Ato 2</t>
        </is>
      </c>
      <c r="H10" s="19" t="inlineStr">
        <is>
          <t>+40–50 Strength e resist a frio: resolve requisitos de supports na campanha.</t>
        </is>
      </c>
      <c r="I10" s="19" t="inlineStr">
        <is>
          <t>+(40-50) to Strength
+(10-15)% to Cold Resistance
50% increased Flask Charges used
100% increased Flask Charges gained</t>
        </is>
      </c>
      <c r="J10" s="19" t="inlineStr">
        <is>
          <t>≈ 0,009 div</t>
        </is>
      </c>
    </row>
    <row r="11" ht="94" customHeight="1">
      <c r="A11" s="19" t="inlineStr"/>
      <c r="B11" s="54" t="inlineStr">
        <is>
          <t>Skysliver</t>
        </is>
      </c>
      <c r="C11" s="19" t="inlineStr">
        <is>
          <t>Main-hand</t>
        </is>
      </c>
      <c r="D11" s="23" t="inlineStr">
        <is>
          <t>Valor</t>
        </is>
      </c>
      <c r="E11" s="55" t="n">
        <v>0.106</v>
      </c>
      <c r="F11" s="56" t="inlineStr">
        <is>
          <t>—</t>
        </is>
      </c>
      <c r="G11" s="19" t="inlineStr">
        <is>
          <t>Ato 2</t>
        </is>
      </c>
      <c r="H11" s="19" t="inlineStr">
        <is>
          <t>Leveling: spear de raio com attack speed para o Twister no Ato 2.</t>
        </is>
      </c>
      <c r="I11" s="19" t="inlineStr">
        <is>
          <t>No Physical Damage
Adds 1 to (80-120) Lightning Damage
(15-30)% increased Attack Speed
(50-100)% increased chance to Shock
Rolls only the minimum or maximum Damage value for each Damage Type</t>
        </is>
      </c>
      <c r="J11" s="19" t="inlineStr"/>
    </row>
    <row r="12" ht="56" customHeight="1">
      <c r="A12" s="19" t="inlineStr"/>
      <c r="B12" s="54" t="inlineStr">
        <is>
          <t>Midnight Braid</t>
        </is>
      </c>
      <c r="C12" s="19" t="inlineStr">
        <is>
          <t>Cinto</t>
        </is>
      </c>
      <c r="D12" s="23" t="inlineStr">
        <is>
          <t>Barato</t>
        </is>
      </c>
      <c r="E12" s="55" t="n">
        <v>0.003</v>
      </c>
      <c r="F12" s="56" t="inlineStr">
        <is>
          <t>—</t>
        </is>
      </c>
      <c r="G12" s="19" t="inlineStr">
        <is>
          <t>Ato 3</t>
        </is>
      </c>
      <c r="H12" s="19" t="inlineStr">
        <is>
          <t>50% do dano recebido é recuperado como mana, +resistências e +mana: sustenta Pain Offering, Unearth e marks.</t>
        </is>
      </c>
      <c r="I12" s="19" t="inlineStr">
        <is>
          <t>+(30-50) to maximum Mana
+(5-10)% to all Elemental Resistances
50% of Damage taken Recouped as Mana</t>
        </is>
      </c>
      <c r="J12" s="19" t="inlineStr"/>
    </row>
    <row r="13" ht="109" customHeight="1">
      <c r="A13" s="19" t="inlineStr"/>
      <c r="B13" s="54" t="inlineStr">
        <is>
          <t>Chober Chaber</t>
        </is>
      </c>
      <c r="C13" s="19" t="inlineStr">
        <is>
          <t>Main-hand (2 mãos)</t>
        </is>
      </c>
      <c r="D13" s="23" t="inlineStr">
        <is>
          <t>Barato</t>
        </is>
      </c>
      <c r="E13" s="55" t="n">
        <v>0.006</v>
      </c>
      <c r="F13" s="56" t="n">
        <v>0.24</v>
      </c>
      <c r="G13" s="19" t="inlineStr">
        <is>
          <t>Ato 3</t>
        </is>
      </c>
      <c r="H13" s="19" t="inlineStr">
        <is>
          <t>O centro da rota. Maça de 2 mãos: dano base altíssimo (a Catha's Balance passa 60% dele por golpe para os companions), +2 a +4 Minion Skills, +50 Spirit e +100 mana. Custa ~2 Exalts.</t>
        </is>
      </c>
      <c r="I13" s="19" t="inlineStr">
        <is>
          <t>+100 Intelligence Requirement
Adds (58-65) to (102-110) Physical Damage
+(80-100) to maximum Mana
+50 to Spirit
+2 to Level of all Minion Skills
Increases and Reductions to Minion Damage also affect you</t>
        </is>
      </c>
      <c r="J13" s="19" t="inlineStr">
        <is>
          <t>Runeforged (nv 55) ≈ 0,04 div · Para usar com sceptre precisa de Giant's Blood (Treefingers no começo, keystone na árvore depois). Giant's Blood TRIPLICA os requisitos de atributo: resolva com The Vertex (versão 'Equipment has no Attribute Requirements').</t>
        </is>
      </c>
    </row>
    <row r="14" ht="94" customHeight="1">
      <c r="A14" s="19" t="inlineStr"/>
      <c r="B14" s="54" t="inlineStr">
        <is>
          <t>Umbilicus Immortalis</t>
        </is>
      </c>
      <c r="C14" s="19" t="inlineStr">
        <is>
          <t>Cinto</t>
        </is>
      </c>
      <c r="D14" s="23" t="inlineStr">
        <is>
          <t>Barato</t>
        </is>
      </c>
      <c r="E14" s="55" t="n">
        <v>0.006</v>
      </c>
      <c r="F14" s="56" t="inlineStr">
        <is>
          <t>—</t>
        </is>
      </c>
      <c r="G14" s="19" t="inlineStr">
        <is>
          <t>Ato 3</t>
        </is>
      </c>
      <c r="H14" s="19" t="inlineStr">
        <is>
          <t>Seu life flask também cura os minions, e eles não morrem enquanto o flask estiver ativo. Salva o macaco em bosses difíceis da campanha.</t>
        </is>
      </c>
      <c r="I14" s="19" t="inlineStr">
        <is>
          <t>(30-40)% reduced Flask Effect Duration
+(20-30) to Intelligence
Minions have (20-30)% increased maximum Life
Your Life Flask also applies to your Minions
Minions cannot Die while affected by a Life Flask
(20-30)% increased Flask Charges gained</t>
        </is>
      </c>
      <c r="J14" s="19" t="inlineStr">
        <is>
          <t xml:space="preserve"> · Alternativa ao Midnight Braid.</t>
        </is>
      </c>
    </row>
    <row r="15" ht="94" customHeight="1">
      <c r="A15" s="19" t="inlineStr"/>
      <c r="B15" s="54" t="inlineStr">
        <is>
          <t>Treefingers</t>
        </is>
      </c>
      <c r="C15" s="19" t="inlineStr">
        <is>
          <t>Luvas</t>
        </is>
      </c>
      <c r="D15" s="23" t="inlineStr">
        <is>
          <t>Barato</t>
        </is>
      </c>
      <c r="E15" s="55" t="n">
        <v>0.014</v>
      </c>
      <c r="F15" s="56" t="n">
        <v>0.03</v>
      </c>
      <c r="G15" s="19" t="inlineStr">
        <is>
          <t>Ato 3</t>
        </is>
      </c>
      <c r="H15" s="19" t="inlineStr">
        <is>
          <t>Luvas de nível 11 que dão Giant's Blood por ~5 Exalts: permitem Chober Chaber + Rattling Sceptre já no Ato 3, sem gastar pontos na árvore.</t>
        </is>
      </c>
      <c r="I15" s="19" t="inlineStr">
        <is>
          <t>(30-60)% increased Armour
Adds (6-10) to (12-16) Physical Damage to Attacks
5% reduced Attack Speed
+(15-20) to Strength
(20-30)% increased Stun Buildup
Giant's Blood</t>
        </is>
      </c>
      <c r="J15" s="19" t="inlineStr">
        <is>
          <t>≈ 0,014 div · Use enquanto não tiver luvas melhores; depois pegue o keystone na árvore.</t>
        </is>
      </c>
    </row>
    <row r="16" ht="79" customHeight="1">
      <c r="A16" s="19" t="inlineStr"/>
      <c r="B16" s="54" t="inlineStr">
        <is>
          <t>Trenchtimbre</t>
        </is>
      </c>
      <c r="C16" s="19" t="inlineStr">
        <is>
          <t>Main-hand</t>
        </is>
      </c>
      <c r="D16" s="23" t="inlineStr">
        <is>
          <t>Barato</t>
        </is>
      </c>
      <c r="E16" s="55" t="n">
        <v>0.023</v>
      </c>
      <c r="F16" s="56" t="n">
        <v>0.26</v>
      </c>
      <c r="G16" s="19" t="inlineStr">
        <is>
          <t>Ato 3</t>
        </is>
      </c>
      <c r="H16" s="19" t="inlineStr">
        <is>
          <t>Modo barato: +1 Minion Skills na mão enquanto você não compra a trinca Chober + Treefingers + The Vertex. O Mattjestic usa com Rattling Sceptre do Ato 3 ao mapping T1–10.</t>
        </is>
      </c>
      <c r="I16" s="19" t="inlineStr">
        <is>
          <t>Adds (13-15) to (22-25) Physical Damage
(20-30)% increased Attack Speed
+1 to Level of all Minion Skills
Increases and Reductions to Minion Attack Speed also affect you</t>
        </is>
      </c>
      <c r="J16" s="19" t="inlineStr">
        <is>
          <t>Runeforged (nv 40) ≈ 0,08 div · Base custa quase nada; equipe logo depois de capturar o Silverfist.</t>
        </is>
      </c>
    </row>
    <row r="17" ht="94" customHeight="1">
      <c r="A17" s="19" t="inlineStr"/>
      <c r="B17" s="54" t="inlineStr">
        <is>
          <t>The Vertex</t>
        </is>
      </c>
      <c r="C17" s="19" t="inlineStr">
        <is>
          <t>Capacete</t>
        </is>
      </c>
      <c r="D17" s="23" t="inlineStr">
        <is>
          <t>Valor</t>
        </is>
      </c>
      <c r="E17" s="55" t="n">
        <v>0.408</v>
      </c>
      <c r="F17" s="56" t="n">
        <v>0.13</v>
      </c>
      <c r="G17" s="19" t="inlineStr">
        <is>
          <t>Ato 3</t>
        </is>
      </c>
      <c r="H17" s="19" t="inlineStr">
        <is>
          <t>Com Giant's Blood, os requisitos da Chober Chaber triplicam (centenas de Strength/Intelligence). A versão 'Equipment has no Attribute Requirements' zera isso. É a peça que libera a Chober cedo.</t>
        </is>
      </c>
      <c r="I17" s="19" t="inlineStr">
        <is>
          <t>Has no Attribute Requirements
(100-150)% increased Evasion and Energy Shield
(20-30)% increased Critical Hit Chance
+(13-17)% to Chaos Resistance
Equipment has no Attribute Requirements
Skill Gems have no Attribute Requirements</t>
        </is>
      </c>
      <c r="J17" s="19" t="inlineStr">
        <is>
          <t>≈ 0,41 div · Compre SÓ a versão com 'Equipment has no Attribute Requirements' (o Mattjestic marca como 'The Vertex (equipment)').</t>
        </is>
      </c>
    </row>
    <row r="18" ht="64" customHeight="1">
      <c r="A18" s="19" t="inlineStr"/>
      <c r="B18" s="54" t="inlineStr">
        <is>
          <t>Arakaali's Gift</t>
        </is>
      </c>
      <c r="C18" s="19" t="inlineStr">
        <is>
          <t>Charm</t>
        </is>
      </c>
      <c r="D18" s="23" t="inlineStr">
        <is>
          <t>Barato</t>
        </is>
      </c>
      <c r="E18" s="55" t="n">
        <v>0.003</v>
      </c>
      <c r="F18" s="56" t="n">
        <v>0.22</v>
      </c>
      <c r="G18" s="19" t="inlineStr">
        <is>
          <t>Ato 4</t>
        </is>
      </c>
      <c r="H18" s="19" t="inlineStr">
        <is>
          <t>Contra poison: recupera vida e mana ao usar.</t>
        </is>
      </c>
      <c r="I18" s="19" t="inlineStr">
        <is>
          <t>Recover Life equal to (15-20)% of Mana Flask's Recovery Amount when used
Recover Mana equal to (15-20)% of Life Flask's Recovery Amount when used</t>
        </is>
      </c>
      <c r="J18" s="19" t="inlineStr">
        <is>
          <t>≈ 0,003 div</t>
        </is>
      </c>
    </row>
    <row r="19" ht="64" customHeight="1">
      <c r="A19" s="19" t="inlineStr"/>
      <c r="B19" s="54" t="inlineStr">
        <is>
          <t>Enfolding Dawn</t>
        </is>
      </c>
      <c r="C19" s="19" t="inlineStr">
        <is>
          <t>Body Armour</t>
        </is>
      </c>
      <c r="D19" s="23" t="inlineStr">
        <is>
          <t>Barato</t>
        </is>
      </c>
      <c r="E19" s="55" t="n">
        <v>0.003</v>
      </c>
      <c r="F19" s="56" t="inlineStr">
        <is>
          <t>—</t>
        </is>
      </c>
      <c r="G19" s="19" t="inlineStr">
        <is>
          <t>Ato 4</t>
        </is>
      </c>
      <c r="H19" s="19" t="inlineStr">
        <is>
          <t>+100 Spirit num body de nível 1. É o maior ganho de Spirit da campanha: cabe mais um companion (ou o beast de aura mais cedo).</t>
        </is>
      </c>
      <c r="I19" s="19" t="inlineStr">
        <is>
          <t>(50-100)% increased Armour and Energy Shield
+100 to Spirit
+(5-15)% to all Elemental Resistances
Gain no inherent bonus from Intelligence</t>
        </is>
      </c>
      <c r="J19" s="19" t="inlineStr">
        <is>
          <t xml:space="preserve"> · Use do Ato 2 até o Forgotten Warden.</t>
        </is>
      </c>
    </row>
    <row r="20" ht="64" customHeight="1">
      <c r="A20" s="19" t="inlineStr"/>
      <c r="B20" s="54" t="inlineStr">
        <is>
          <t>Bushwhack</t>
        </is>
      </c>
      <c r="C20" s="19" t="inlineStr">
        <is>
          <t>Botas</t>
        </is>
      </c>
      <c r="D20" s="23" t="inlineStr">
        <is>
          <t>Barato</t>
        </is>
      </c>
      <c r="E20" s="55" t="n">
        <v>0.005</v>
      </c>
      <c r="F20" s="56" t="inlineStr">
        <is>
          <t>—</t>
        </is>
      </c>
      <c r="G20" s="19" t="inlineStr">
        <is>
          <t>Ato 4</t>
        </is>
      </c>
      <c r="H20" s="19" t="inlineStr">
        <is>
          <t>15–25% Movement Speed com Evasion, e seu dano físico dá Pin. Botas baratas com MS para a campanha.</t>
        </is>
      </c>
      <c r="I20" s="19" t="inlineStr">
        <is>
          <t>(15-25)% increased Movement Speed
(50-80)% increased Evasion Rating
+(10-20) to Dexterity
Physical Damage is Pinning</t>
        </is>
      </c>
      <c r="J20" s="19" t="inlineStr"/>
    </row>
    <row r="21" ht="56" customHeight="1">
      <c r="A21" s="19" t="inlineStr"/>
      <c r="B21" s="54" t="inlineStr">
        <is>
          <t>Sanguis Heroum</t>
        </is>
      </c>
      <c r="C21" s="19" t="inlineStr">
        <is>
          <t>Charm</t>
        </is>
      </c>
      <c r="D21" s="23" t="inlineStr">
        <is>
          <t>Barato</t>
        </is>
      </c>
      <c r="E21" s="55" t="n">
        <v>0.006</v>
      </c>
      <c r="F21" s="56" t="n">
        <v>0.26</v>
      </c>
      <c r="G21" s="19" t="inlineStr">
        <is>
          <t>Ato 4</t>
        </is>
      </c>
      <c r="H21" s="19" t="inlineStr">
        <is>
          <t>Contra bleed: ganha cargas sozinho e cria Consecrated Ground.</t>
        </is>
      </c>
      <c r="I21" s="19" t="inlineStr">
        <is>
          <t>Gains (0.15-0.2) Charges per Second
Creates Consecrated Ground on use</t>
        </is>
      </c>
      <c r="J21" s="19" t="inlineStr">
        <is>
          <t>≈ 0,006 div</t>
        </is>
      </c>
    </row>
    <row r="22" ht="79" customHeight="1">
      <c r="A22" s="19" t="inlineStr"/>
      <c r="B22" s="54" t="inlineStr">
        <is>
          <t>Evergrasping Ring</t>
        </is>
      </c>
      <c r="C22" s="19" t="inlineStr">
        <is>
          <t>Anel</t>
        </is>
      </c>
      <c r="D22" s="23" t="inlineStr">
        <is>
          <t>Barato</t>
        </is>
      </c>
      <c r="E22" s="55" t="n">
        <v>0.006</v>
      </c>
      <c r="F22" s="56" t="inlineStr">
        <is>
          <t>—</t>
        </is>
      </c>
      <c r="G22" s="19" t="inlineStr">
        <is>
          <t>Ato 4</t>
        </is>
      </c>
      <c r="H22" s="19" t="inlineStr">
        <is>
          <t>Aliados na sua Presence ganham 15–25% do dano como chaos EXTRA. Com dois anéis e Withering Presence/Despair, o zoo inteiro bate muito mais.</t>
        </is>
      </c>
      <c r="I22" s="19" t="inlineStr">
        <is>
          <t>+(60-100) to maximum Mana
Allies in your Presence Gain (15-25)% of Damage as Extra Chaos Damage
Enemies in your Presence Gain (6-12)% of Damage as Extra Chaos Damage</t>
        </is>
      </c>
      <c r="J22" s="19" t="inlineStr">
        <is>
          <t xml:space="preserve"> · Use dois (um em cada mão) do Ato 4 ao mapping.</t>
        </is>
      </c>
    </row>
    <row r="23" ht="109" customHeight="1">
      <c r="A23" s="19" t="inlineStr"/>
      <c r="B23" s="54" t="inlineStr">
        <is>
          <t>Starkonja's Head</t>
        </is>
      </c>
      <c r="C23" s="19" t="inlineStr">
        <is>
          <t>Capacete</t>
        </is>
      </c>
      <c r="D23" s="23" t="inlineStr">
        <is>
          <t>Barato</t>
        </is>
      </c>
      <c r="E23" s="55" t="n">
        <v>0.008</v>
      </c>
      <c r="F23" s="56" t="n">
        <v>0.04</v>
      </c>
      <c r="G23" s="19" t="inlineStr">
        <is>
          <t>Ato 4</t>
        </is>
      </c>
      <c r="H23" s="19" t="inlineStr">
        <is>
          <t>15% do dano de hits vai para o companion antes de você. Defesa barata na campanha e no início dos maps.</t>
        </is>
      </c>
      <c r="I23" s="19" t="inlineStr">
        <is>
          <t>(100-180)% increased Evasion Rating
(15-24)% increased Critical Hit Chance
+(30-40) to Dexterity
150% increased Global Evasion Rating when on Low Life
15% of Damage from Hits is taken from your Damageable Companion's Life before you</t>
        </is>
      </c>
      <c r="J23" s="19" t="inlineStr">
        <is>
          <t>≈ 0,01 div</t>
        </is>
      </c>
    </row>
    <row r="24" ht="79" customHeight="1">
      <c r="A24" s="19" t="inlineStr"/>
      <c r="B24" s="54" t="inlineStr">
        <is>
          <t>Beira's Anguish</t>
        </is>
      </c>
      <c r="C24" s="19" t="inlineStr">
        <is>
          <t>Charm</t>
        </is>
      </c>
      <c r="D24" s="23" t="inlineStr">
        <is>
          <t>Barato</t>
        </is>
      </c>
      <c r="E24" s="55" t="n">
        <v>0.011</v>
      </c>
      <c r="F24" s="56" t="n">
        <v>0.43</v>
      </c>
      <c r="G24" s="19" t="inlineStr">
        <is>
          <t>Ato 4</t>
        </is>
      </c>
      <c r="H24" s="19" t="inlineStr">
        <is>
          <t>Contra ignite: cria chão em chamas que queima com 500% da sua vida máxima.</t>
        </is>
      </c>
      <c r="I24" s="19" t="inlineStr">
        <is>
          <t>(20-25)% Chance to gain a Charge when you kill an enemy
Creates Ignited Ground for 4 seconds when used, Igniting enemies as though dealing Fire damage equal to 500% of your maximum Life</t>
        </is>
      </c>
      <c r="J24" s="19" t="inlineStr">
        <is>
          <t>≈ 0,01 div</t>
        </is>
      </c>
    </row>
    <row r="25" ht="109" customHeight="1">
      <c r="A25" s="19" t="inlineStr"/>
      <c r="B25" s="54" t="inlineStr">
        <is>
          <t>Ventor's Gamble</t>
        </is>
      </c>
      <c r="C25" s="19" t="inlineStr">
        <is>
          <t>Anel</t>
        </is>
      </c>
      <c r="D25" s="23" t="inlineStr">
        <is>
          <t>Barato</t>
        </is>
      </c>
      <c r="E25" s="55" t="n">
        <v>0.028</v>
      </c>
      <c r="F25" s="56" t="n">
        <v>0.07000000000000001</v>
      </c>
      <c r="G25" s="19" t="inlineStr">
        <is>
          <t>Interlúdios</t>
        </is>
      </c>
      <c r="H25" s="19" t="inlineStr">
        <is>
          <t>Até +80 vida e +20 Spirit (e resists aleatórias). Um bom roll custa quase nada.</t>
        </is>
      </c>
      <c r="I25" s="19" t="inlineStr">
        <is>
          <t>+(1-80) to maximum Life
+(1-20) to Spirit
(1-25)% increased Rarity of Items found
(1-25)% reduced Rarity of Items found
(-40-39)% to Fire Resistance
(-40-39)% to Cold Resistance
+(-39-40)% to Lightning Resistance</t>
        </is>
      </c>
      <c r="J25" s="19" t="inlineStr">
        <is>
          <t>≈ 0,03 div · Compre um com resists positivas.</t>
        </is>
      </c>
    </row>
    <row r="26" ht="64" customHeight="1">
      <c r="A26" s="19" t="inlineStr"/>
      <c r="B26" s="54" t="inlineStr">
        <is>
          <t>Alpha's Howl</t>
        </is>
      </c>
      <c r="C26" s="19" t="inlineStr">
        <is>
          <t>Capacete</t>
        </is>
      </c>
      <c r="D26" s="23" t="inlineStr">
        <is>
          <t>Valor</t>
        </is>
      </c>
      <c r="E26" s="55" t="n">
        <v>0.418</v>
      </c>
      <c r="F26" s="56" t="n">
        <v>0.01</v>
      </c>
      <c r="G26" s="19" t="inlineStr">
        <is>
          <t>Início do Atlas</t>
        </is>
      </c>
      <c r="H26" s="19" t="inlineStr">
        <is>
          <t>+100 Spirit e Presence em dobro (auras e bônus de Presence alcançam o zoo espalhado). Resolve o Spirit do modo barato.</t>
        </is>
      </c>
      <c r="I26" s="19" t="inlineStr">
        <is>
          <t>(80-100)% increased Evasion Rating
+100 to Spirit
+(50-74)% to Cold Resistance
Presence Radius is doubled</t>
        </is>
      </c>
      <c r="J26" s="19" t="inlineStr">
        <is>
          <t>≈ 0,42 div · Troca o +Minion Skills do capacete por Spirit: vale enquanto faltar reserva.</t>
        </is>
      </c>
    </row>
    <row r="27" ht="56" customHeight="1">
      <c r="A27" s="19" t="inlineStr"/>
      <c r="B27" s="54" t="inlineStr">
        <is>
          <t>Undying Hate</t>
        </is>
      </c>
      <c r="C27" s="19" t="inlineStr">
        <is>
          <t>Jewel</t>
        </is>
      </c>
      <c r="D27" s="23" t="inlineStr">
        <is>
          <t>Valor</t>
        </is>
      </c>
      <c r="E27" s="55" t="n">
        <v>0.529</v>
      </c>
      <c r="F27" s="56" t="inlineStr">
        <is>
          <t>—</t>
        </is>
      </c>
      <c r="G27" s="19" t="inlineStr">
        <is>
          <t>Início do Atlas</t>
        </is>
      </c>
      <c r="H27" s="19" t="inlineStr">
        <is>
          <t>Timeless Jewel: conquista nós no raio com bônus Abyssal. Usado no mapping T1–10 do Mattjestic.</t>
        </is>
      </c>
      <c r="I27" s="19" t="inlineStr">
        <is>
          <t>Historic
Conquered Attribute Passive Skills also grant +2 to Tribute</t>
        </is>
      </c>
      <c r="J27" s="19" t="inlineStr">
        <is>
          <t xml:space="preserve"> · Opcional.</t>
        </is>
      </c>
    </row>
    <row r="28" ht="124" customHeight="1">
      <c r="A28" s="19" t="inlineStr"/>
      <c r="B28" s="54" t="inlineStr">
        <is>
          <t>Sylvan's Effigy</t>
        </is>
      </c>
      <c r="C28" s="19" t="inlineStr">
        <is>
          <t>Offhand</t>
        </is>
      </c>
      <c r="D28" s="23" t="inlineStr">
        <is>
          <t>Valor</t>
        </is>
      </c>
      <c r="E28" s="55" t="n">
        <v>0.952</v>
      </c>
      <c r="F28" s="56" t="n">
        <v>1</v>
      </c>
      <c r="G28" s="19" t="inlineStr">
        <is>
          <t>Início do Atlas</t>
        </is>
      </c>
      <c r="H28" s="19" t="inlineStr">
        <is>
          <t>Companions ilimitados (tipos diferentes), Azmerian Wolf e Discipline de graça, +50–68% Spirit. Nesta liga custa ~1 div: não é luxo, é o primeiro grande objetivo do Atlas.</t>
        </is>
      </c>
      <c r="I28" s="19" t="inlineStr">
        <is>
          <t>(50-68)% increased Spirit
Allies in your Presence Regenerate (51.4-99.1) Life per second
+(6-12) to all Attributes
Companions deal (50-98)% increased damage to your Marked targets
You can have any number of Companions of different types</t>
        </is>
      </c>
      <c r="J28" s="19" t="inlineStr">
        <is>
          <t>≈ 0,95 div (4 mil à venda) · Coloque Primate Idol (+40% dano de aliados) e Rabbit Idol (+15% Spirit) nos sockets.</t>
        </is>
      </c>
    </row>
    <row r="29" ht="94" customHeight="1">
      <c r="A29" s="19" t="inlineStr"/>
      <c r="B29" s="54" t="inlineStr">
        <is>
          <t>Spiteful Floret</t>
        </is>
      </c>
      <c r="C29" s="19" t="inlineStr">
        <is>
          <t>Weapon set 2</t>
        </is>
      </c>
      <c r="D29" s="23" t="inlineStr">
        <is>
          <t>Barato</t>
        </is>
      </c>
      <c r="E29" s="55" t="n">
        <v>0.003</v>
      </c>
      <c r="F29" s="56" t="n">
        <v>0.04</v>
      </c>
      <c r="G29" s="19" t="inlineStr">
        <is>
          <t>T15+ (Effigy)</t>
        </is>
      </c>
      <c r="H29" s="19" t="inlineStr">
        <is>
          <t>Fica no weapon set 2 só para conceder Sanguine Revelry (Remnants dão Rage e vida). Você não troca de set para lutar.</t>
        </is>
      </c>
      <c r="I29" s="19" t="inlineStr">
        <is>
          <t>(60-90)% increased Physical Damage
(6-10)% increased Attack Speed
+(7-14) to Strength
(20-30)% chance to cause Bleeding on Hit
Every 5 Rage also grants 5% of Damage taken Recouped as Life</t>
        </is>
      </c>
      <c r="J29" s="19" t="inlineStr">
        <is>
          <t xml:space="preserve"> · Equipe no set 2 e ative Sanguine Revelry.</t>
        </is>
      </c>
    </row>
    <row r="30" ht="154" customHeight="1">
      <c r="A30" s="19" t="inlineStr"/>
      <c r="B30" s="54" t="inlineStr">
        <is>
          <t>Darkness Enthroned</t>
        </is>
      </c>
      <c r="C30" s="19" t="inlineStr">
        <is>
          <t>Cinto</t>
        </is>
      </c>
      <c r="D30" s="23" t="inlineStr">
        <is>
          <t>Barato</t>
        </is>
      </c>
      <c r="E30" s="55" t="n">
        <v>0.014</v>
      </c>
      <c r="F30" s="56" t="n">
        <v>0.02</v>
      </c>
      <c r="G30" s="19" t="inlineStr">
        <is>
          <t>T15+ (Effigy)</t>
        </is>
      </c>
      <c r="H30" s="19" t="inlineStr">
        <is>
          <t>Sockets de Augment tratados como Capacete/Escudo/Botas/Luvas com 50–99% mais efeito: mais Idols para a Idolatry.</t>
        </is>
      </c>
      <c r="I30" s="19" t="inlineStr">
        <is>
          <t>(50-99)% increased effect of Socketed Augment Items
This item gains bonuses from Socketed Items as though it was a Helmet
This item gains bonuses from Socketed Items as though it was a Shield
This item gains bonuses from Socketed Items as though it was Boots
This item gains bonuses from Socketed Items as though it was Gloves</t>
        </is>
      </c>
      <c r="J30" s="19" t="inlineStr">
        <is>
          <t>≈ 0,014 div</t>
        </is>
      </c>
    </row>
    <row r="31" ht="94" customHeight="1">
      <c r="A31" s="19" t="inlineStr"/>
      <c r="B31" s="54" t="inlineStr">
        <is>
          <t>The Hammer of Faith</t>
        </is>
      </c>
      <c r="C31" s="19" t="inlineStr">
        <is>
          <t>Main-hand (2 mãos)</t>
        </is>
      </c>
      <c r="D31" s="23" t="inlineStr">
        <is>
          <t>Valor</t>
        </is>
      </c>
      <c r="E31" s="55" t="n">
        <v>0.101</v>
      </c>
      <c r="F31" s="56" t="n">
        <v>0.06</v>
      </c>
      <c r="G31" s="19" t="inlineStr">
        <is>
          <t>T15+ (Effigy)</t>
        </is>
      </c>
      <c r="H31" s="19" t="inlineStr">
        <is>
          <t>Giant Maul com 300–342% dano físico: muito dano por golpe para a Catha. Runeforged dá 30% phys como lightning e +60% dano de minion (bonded).</t>
        </is>
      </c>
      <c r="I31" s="19" t="inlineStr">
        <is>
          <t>(300-339)% increased Physical Damage
10% reduced Attack Speed
+10% to all Elemental Resistances
50% increased Mana Regeneration Rate
Every 10 seconds, gain a random non-damaging Shrine buff for 20 seconds</t>
        </is>
      </c>
      <c r="J31" s="19" t="inlineStr">
        <is>
          <t>≈ 0,10 div · Também exige Giant's Blood para usar com sceptre.</t>
        </is>
      </c>
    </row>
    <row r="32" ht="56" customHeight="1">
      <c r="A32" s="19" t="inlineStr"/>
      <c r="B32" s="54" t="inlineStr">
        <is>
          <t>Nascent Hope</t>
        </is>
      </c>
      <c r="C32" s="19" t="inlineStr">
        <is>
          <t>Charm</t>
        </is>
      </c>
      <c r="D32" s="23" t="inlineStr">
        <is>
          <t>Valor</t>
        </is>
      </c>
      <c r="E32" s="55" t="n">
        <v>0.106</v>
      </c>
      <c r="F32" s="56" t="n">
        <v>0.33</v>
      </c>
      <c r="G32" s="19" t="inlineStr">
        <is>
          <t>T15+ (Effigy)</t>
        </is>
      </c>
      <c r="H32" s="19" t="inlineStr">
        <is>
          <t>Thawing Charm que ganha cargas ao matar e inicia recarga de ES ao usar.</t>
        </is>
      </c>
      <c r="I32" s="19" t="inlineStr">
        <is>
          <t>(20-25)% Chance to gain a Charge when you kill an enemy
Energy Shield Recharge starts on use</t>
        </is>
      </c>
      <c r="J32" s="19" t="inlineStr">
        <is>
          <t>≈ 0,11 div</t>
        </is>
      </c>
    </row>
    <row r="33" ht="56" customHeight="1">
      <c r="A33" s="19" t="inlineStr"/>
      <c r="B33" s="54" t="inlineStr">
        <is>
          <t>Lavianga's Spirits</t>
        </is>
      </c>
      <c r="C33" s="19" t="inlineStr">
        <is>
          <t>Flask</t>
        </is>
      </c>
      <c r="D33" s="23" t="inlineStr">
        <is>
          <t>Valor</t>
        </is>
      </c>
      <c r="E33" s="55" t="n">
        <v>0.106</v>
      </c>
      <c r="F33" s="56" t="n">
        <v>0.25</v>
      </c>
      <c r="G33" s="19" t="inlineStr">
        <is>
          <t>T15+ (Effigy)</t>
        </is>
      </c>
      <c r="H33" s="19" t="inlineStr">
        <is>
          <t>Flask de mana com efeito constante: sustenta os Commands do Azmerian Wolf e marks, e combina com Mind Over Matter.</t>
        </is>
      </c>
      <c r="I33" s="19" t="inlineStr">
        <is>
          <t>This Flask cannot be Used but applies its Effect constantly
(70-80)% reduced Amount Recovered</t>
        </is>
      </c>
      <c r="J33" s="19" t="inlineStr">
        <is>
          <t>≈ 0,11 div</t>
        </is>
      </c>
    </row>
    <row r="34" ht="109" customHeight="1">
      <c r="A34" s="19" t="inlineStr"/>
      <c r="B34" s="54" t="inlineStr">
        <is>
          <t>Forgotten Warden</t>
        </is>
      </c>
      <c r="C34" s="19" t="inlineStr">
        <is>
          <t>Body Armour</t>
        </is>
      </c>
      <c r="D34" s="23" t="inlineStr">
        <is>
          <t>Valor</t>
        </is>
      </c>
      <c r="E34" s="55" t="n">
        <v>0.209</v>
      </c>
      <c r="F34" s="56" t="n">
        <v>0.8</v>
      </c>
      <c r="G34" s="19" t="inlineStr">
        <is>
          <t>T15+ (Effigy)</t>
        </is>
      </c>
      <c r="H34" s="19" t="inlineStr">
        <is>
          <t>80% dos zoos usam. Companions +30–50% vida, Deflection, 10–15% do dano deflectido vai para os companions, e concede Spirit Vessel nível 16 (um companion a mais sem gastar gem).</t>
        </is>
      </c>
      <c r="I34" s="19" t="inlineStr">
        <is>
          <t>+(70-100) to Deflection Rating per 50 missing Energy Shield
(200-271)% increased Evasion and Energy Shield
+(20-30) to Dexterity
Companions have (30-50)% increased maximum Life
(10-15)% of Damage from Deflected Hits is taken from Damageable Companion's Life before you</t>
        </is>
      </c>
      <c r="J34" s="19" t="inlineStr">
        <is>
          <t>Base ≈ 0,21 div · Runemastered ≈ 5 div · Soquete Fox Idol (ativa bonded) e uma skill de Bear/Werewolf no Spirit Vessel.</t>
        </is>
      </c>
    </row>
    <row r="35" ht="64" customHeight="1">
      <c r="A35" s="19" t="inlineStr"/>
      <c r="B35" s="54" t="inlineStr">
        <is>
          <t>From Nothing</t>
        </is>
      </c>
      <c r="C35" s="19" t="inlineStr">
        <is>
          <t>Jewel</t>
        </is>
      </c>
      <c r="D35" s="23" t="inlineStr">
        <is>
          <t>Valor</t>
        </is>
      </c>
      <c r="E35" s="55" t="n">
        <v>0.212</v>
      </c>
      <c r="F35" s="56" t="n">
        <v>0.21</v>
      </c>
      <c r="G35" s="19" t="inlineStr">
        <is>
          <t>T15+ (Effigy)</t>
        </is>
      </c>
      <c r="H35" s="19" t="inlineStr">
        <is>
          <t>Aloca nós sem conexão: Vile Mending, Grip of Evil, Entropic Incarnation e o cluster de minion perto de Blackflame Covenant. É por isso que esses notables aparecem em 54–67% dos zoos top.</t>
        </is>
      </c>
      <c r="I35" s="19" t="inlineStr">
        <is>
          <t>Passives in Radius of (keystone) can be Allocated without being connected to your tree</t>
        </is>
      </c>
      <c r="J35" s="19" t="inlineStr">
        <is>
          <t>≈ 0,21 div · Confira o keystone do raio no anúncio (precisa ser o que alcança os nós de minion).</t>
        </is>
      </c>
    </row>
    <row r="36" ht="56" customHeight="1">
      <c r="A36" s="19" t="inlineStr"/>
      <c r="B36" s="54" t="inlineStr">
        <is>
          <t>Flesh Crucible</t>
        </is>
      </c>
      <c r="C36" s="19" t="inlineStr">
        <is>
          <t>Jewel</t>
        </is>
      </c>
      <c r="D36" s="23" t="inlineStr">
        <is>
          <t>Valor</t>
        </is>
      </c>
      <c r="E36" s="55" t="n">
        <v>0.317</v>
      </c>
      <c r="F36" s="56" t="inlineStr">
        <is>
          <t>—</t>
        </is>
      </c>
      <c r="G36" s="19" t="inlineStr">
        <is>
          <t>T15+ (Effigy)</t>
        </is>
      </c>
      <c r="H36" s="19" t="inlineStr">
        <is>
          <t>Pode rolar Giant's Blood (entre outros keystones) com uma penalidade: alternativa ao Treefingers sem gastar slot de luva.</t>
        </is>
      </c>
      <c r="I36" s="19" t="inlineStr">
        <is>
          <t>Concede 1 keystone aleatório (procure Giant's Blood)
(10-20)% less de um atributo defensivo/ofensivo</t>
        </is>
      </c>
      <c r="J36" s="19" t="inlineStr">
        <is>
          <t>≈ 0,32 div · Só compre a versão com Giant's Blood e penalidade leve (ex.: less mana).</t>
        </is>
      </c>
    </row>
    <row r="37" ht="56" customHeight="1">
      <c r="A37" s="19" t="inlineStr"/>
      <c r="B37" s="54" t="inlineStr">
        <is>
          <t>The Fall of the Axe</t>
        </is>
      </c>
      <c r="C37" s="19" t="inlineStr">
        <is>
          <t>Charm</t>
        </is>
      </c>
      <c r="D37" s="23" t="inlineStr">
        <is>
          <t>Valor</t>
        </is>
      </c>
      <c r="E37" s="55" t="n">
        <v>0.635</v>
      </c>
      <c r="F37" s="56" t="n">
        <v>0.12</v>
      </c>
      <c r="G37" s="19" t="inlineStr">
        <is>
          <t>T15+ (Effigy)</t>
        </is>
      </c>
      <c r="H37" s="19" t="inlineStr">
        <is>
          <t>Onslaught quando você é desacelerado: mais velocidade para acompanhar o zoo.</t>
        </is>
      </c>
      <c r="I37" s="19" t="inlineStr">
        <is>
          <t>Grants Onslaught during effect</t>
        </is>
      </c>
      <c r="J37" s="19" t="inlineStr">
        <is>
          <t>≈ 0,64 div</t>
        </is>
      </c>
    </row>
    <row r="38" ht="109" customHeight="1">
      <c r="A38" s="19" t="inlineStr"/>
      <c r="B38" s="54" t="inlineStr">
        <is>
          <t>Controlled Metamorphosis</t>
        </is>
      </c>
      <c r="C38" s="19" t="inlineStr">
        <is>
          <t>Jewel</t>
        </is>
      </c>
      <c r="D38" s="23" t="inlineStr">
        <is>
          <t>Luxo</t>
        </is>
      </c>
      <c r="E38" s="55" t="n">
        <v>14.9</v>
      </c>
      <c r="F38" s="56" t="n">
        <v>0.01</v>
      </c>
      <c r="G38" s="19" t="inlineStr">
        <is>
          <t>T15+ (Effigy)</t>
        </is>
      </c>
      <c r="H38" s="19" t="inlineStr">
        <is>
          <t>Aloca nós do anel médio-grande sem conexão (-5 a -20% resists). O Mattjestic usa para pegar nós de companion longe do caminho.</t>
        </is>
      </c>
      <c r="I38" s="19" t="inlineStr">
        <is>
          <t>Only affects Passives in Medium-Large Ring
Only affects Passives in Massive Ring
Only affects Passives in Medium Ring
Only affects Passives in Medium-Small Ring
Only affects Passives in Small Ring
Only affects Passives in Very Large Ring
Only affects Passives in Very Small Ring</t>
        </is>
      </c>
      <c r="J38" s="19" t="inlineStr"/>
    </row>
    <row r="39" ht="94" customHeight="1">
      <c r="A39" s="19" t="inlineStr"/>
      <c r="B39" s="54" t="inlineStr">
        <is>
          <t>Tyranny's Grip</t>
        </is>
      </c>
      <c r="C39" s="19" t="inlineStr">
        <is>
          <t>Main-hand</t>
        </is>
      </c>
      <c r="D39" s="23" t="inlineStr">
        <is>
          <t>Barato</t>
        </is>
      </c>
      <c r="E39" s="55" t="n">
        <v>0.003</v>
      </c>
      <c r="F39" s="56" t="n">
        <v>0.39</v>
      </c>
      <c r="G39" s="19" t="inlineStr">
        <is>
          <t>Arbiter / Min-max</t>
        </is>
      </c>
      <c r="H39" s="19" t="inlineStr">
        <is>
          <t>Arma barata popular da Catha's Balance em OUTRAS builds de zoo (spear de 1 mão). NÃO é usada nesta rota: aqui a Chober Chaber faz esse papel e ainda dá +Minion Skills e Spirit.</t>
        </is>
      </c>
      <c r="I39" s="19" t="inlineStr">
        <is>
          <t>(150-192)% increased Physical Damage
(10-15)% reduced Attack Speed
+(15-30) to Strength
Strikes deal Splash Damage
Knocks Back Enemies on Hit
Cannot use Projectile Attacks</t>
        </is>
      </c>
      <c r="J39" s="19" t="inlineStr">
        <is>
          <t>Runeforged (nv 38) ≈ 0,003 div · Runemastered (nv 55) ≈ 0,41 div · Só considere se não usar a rota Chober Chaber.</t>
        </is>
      </c>
    </row>
    <row r="40" ht="56" customHeight="1">
      <c r="A40" s="19" t="inlineStr"/>
      <c r="B40" s="54" t="inlineStr">
        <is>
          <t>Prism of Belief</t>
        </is>
      </c>
      <c r="C40" s="19" t="inlineStr">
        <is>
          <t>Jewel</t>
        </is>
      </c>
      <c r="D40" s="23" t="inlineStr">
        <is>
          <t>Valor</t>
        </is>
      </c>
      <c r="E40" s="55" t="n">
        <v>0.003</v>
      </c>
      <c r="F40" s="56" t="n">
        <v>0.08</v>
      </c>
      <c r="G40" s="19" t="inlineStr">
        <is>
          <t>Arbiter / Min-max</t>
        </is>
      </c>
      <c r="H40" s="19" t="inlineStr">
        <is>
          <t>+1 a +3 níveis em todos os Tamed Companions (Zekoa, beasts).</t>
        </is>
      </c>
      <c r="I40" s="19" t="inlineStr">
        <is>
          <t>+(1-3) to Level of all Tamed Companion Skills (versão para a build)</t>
        </is>
      </c>
      <c r="J40" s="19" t="inlineStr">
        <is>
          <t>+1 barato · +2/+3 Tamed Companion caro · Procure no trade o mod exato 'Tamed Companion Skills'.</t>
        </is>
      </c>
    </row>
    <row r="41" ht="124" customHeight="1">
      <c r="A41" s="19" t="inlineStr"/>
      <c r="B41" s="54" t="inlineStr">
        <is>
          <t>Grip of Kulemak</t>
        </is>
      </c>
      <c r="C41" s="19" t="inlineStr">
        <is>
          <t>Anel</t>
        </is>
      </c>
      <c r="D41" s="23" t="inlineStr">
        <is>
          <t>Barato</t>
        </is>
      </c>
      <c r="E41" s="55" t="n">
        <v>0.006</v>
      </c>
      <c r="F41" s="56" t="inlineStr">
        <is>
          <t>—</t>
        </is>
      </c>
      <c r="G41" s="19" t="inlineStr">
        <is>
          <t>Arbiter / Min-max</t>
        </is>
      </c>
      <c r="H41" s="19" t="inlineStr">
        <is>
          <t>Citado pelo guia base (Spirit efficiency / vida ao matar / chaos res em aliados, dependendo do roll).</t>
        </is>
      </c>
      <c r="I41" s="19" t="inlineStr">
        <is>
          <t>(31-38)% increased Armour
(5-9)% increased maximum Mana
(15-25)% increased Critical Damage Bonus
(37-39)% increased Evasion Rating
Hits against you have (20-30)% reduced Critical Damage Bonus
(5-9)% increased maximum Life
(20-30)% reduced Presence Area of Effect</t>
        </is>
      </c>
      <c r="J41" s="19" t="inlineStr">
        <is>
          <t>≈ 0,006 div</t>
        </is>
      </c>
    </row>
    <row r="42" ht="79" customHeight="1">
      <c r="A42" s="19" t="inlineStr"/>
      <c r="B42" s="54" t="inlineStr">
        <is>
          <t>Horror's Flight</t>
        </is>
      </c>
      <c r="C42" s="19" t="inlineStr">
        <is>
          <t>Luvas</t>
        </is>
      </c>
      <c r="D42" s="23" t="inlineStr">
        <is>
          <t>Valor</t>
        </is>
      </c>
      <c r="E42" s="55" t="n">
        <v>0.104</v>
      </c>
      <c r="F42" s="56" t="n">
        <v>0.03</v>
      </c>
      <c r="G42" s="19" t="inlineStr">
        <is>
          <t>Arbiter / Min-max</t>
        </is>
      </c>
      <c r="H42" s="19" t="inlineStr">
        <is>
          <t>200–300% Evasion e attack speed. Com Cadigan's Epiphany vira jewel socket.</t>
        </is>
      </c>
      <c r="I42" s="19" t="inlineStr">
        <is>
          <t>(200-300)% increased Evasion Rating
(7-17)% increased Attack Speed
+(13-23) to Dexterity
Adds (19-23) to (31-37) Chaos Damage to Attacks
Gain 1 Fear Incarnate when you Cull a target</t>
        </is>
      </c>
      <c r="J42" s="19" t="inlineStr">
        <is>
          <t>≈ 0,10 div</t>
        </is>
      </c>
    </row>
    <row r="43" ht="56" customHeight="1">
      <c r="A43" s="19" t="inlineStr"/>
      <c r="B43" s="54" t="inlineStr">
        <is>
          <t>Megalomaniac</t>
        </is>
      </c>
      <c r="C43" s="19" t="inlineStr">
        <is>
          <t>Jewel</t>
        </is>
      </c>
      <c r="D43" s="23" t="inlineStr">
        <is>
          <t>Valor</t>
        </is>
      </c>
      <c r="E43" s="55" t="n">
        <v>0.317</v>
      </c>
      <c r="F43" s="56" t="n">
        <v>0.07000000000000001</v>
      </c>
      <c r="G43" s="19" t="inlineStr">
        <is>
          <t>Arbiter / Min-max</t>
        </is>
      </c>
      <c r="H43" s="19" t="inlineStr">
        <is>
          <t>Aloca notables aleatórios; compre só com notables de minion/defesa.</t>
        </is>
      </c>
      <c r="I43" s="19" t="inlineStr">
        <is>
          <t>Aloca notables aleatórios (enchant)</t>
        </is>
      </c>
      <c r="J43" s="19" t="inlineStr">
        <is>
          <t>≈ 0,32 div</t>
        </is>
      </c>
    </row>
    <row r="44" ht="124" customHeight="1">
      <c r="A44" s="19" t="inlineStr"/>
      <c r="B44" s="54" t="inlineStr">
        <is>
          <t>Heart of the Well</t>
        </is>
      </c>
      <c r="C44" s="19" t="inlineStr">
        <is>
          <t>Jewel</t>
        </is>
      </c>
      <c r="D44" s="23" t="inlineStr">
        <is>
          <t>Valor</t>
        </is>
      </c>
      <c r="E44" s="55" t="n">
        <v>0.73</v>
      </c>
      <c r="F44" s="56" t="n">
        <v>0.07000000000000001</v>
      </c>
      <c r="G44" s="19" t="inlineStr">
        <is>
          <t>Arbiter / Min-max</t>
        </is>
      </c>
      <c r="H44" s="19" t="inlineStr">
        <is>
          <t>Mods aleatórios; os bons dão resistência física e regeneração para minions.</t>
        </is>
      </c>
      <c r="I44" s="19" t="inlineStr">
        <is>
          <t>Gain (9-14)% of Damage as Extra Cold Damage
Gain (9-14)% of Damage as Extra Fire Damage
Gain (10-15)% of Damage as Extra Lightning Damage
(6-12)% increased Critical Damage Bonus
(1-2)% increased Movement Speed
Minions have (3-12)% additional Physical Damage Reduction
(5-9)% chance to Poison on Hit</t>
        </is>
      </c>
      <c r="J44" s="19" t="inlineStr">
        <is>
          <t>≈ 0,73 div</t>
        </is>
      </c>
    </row>
    <row r="45" ht="154" customHeight="1">
      <c r="A45" s="19" t="inlineStr"/>
      <c r="B45" s="54" t="inlineStr">
        <is>
          <t>Morior Invictus</t>
        </is>
      </c>
      <c r="C45" s="19" t="inlineStr">
        <is>
          <t>Body Armour</t>
        </is>
      </c>
      <c r="D45" s="23" t="inlineStr">
        <is>
          <t>Luxo</t>
        </is>
      </c>
      <c r="E45" s="55" t="n">
        <v>6</v>
      </c>
      <c r="F45" s="56" t="n">
        <v>0.11</v>
      </c>
      <c r="G45" s="19" t="inlineStr">
        <is>
          <t>Arbiter / Min-max</t>
        </is>
      </c>
      <c r="H45" s="19" t="inlineStr">
        <is>
          <t>Por socket preenchido: +8–10% todas as resists, +45–60 vida, +10 Spirit, menos dano crítico recebido. Tanque de verdade para Arbiter.</t>
        </is>
      </c>
      <c r="I45" s="19" t="inlineStr">
        <is>
          <t>(300-400)% increased Armour, Evasion and Energy Shield
+(5-7) to all Attributes per Socket filled
+(45-60) to maximum Life per Socket filled
+(50-60) to maximum Mana per Socket filled
+(10-13)% to Chaos Resistance per Socket filled
(8-11.9) Life Regeneration per second per Socket filled
+(8-10)% to all Elemental Resistances per Socket filled</t>
        </is>
      </c>
      <c r="J45" s="19" t="inlineStr">
        <is>
          <t>≈ 6 div · Encha todos os sockets com Idols.</t>
        </is>
      </c>
    </row>
    <row r="46" ht="154" customHeight="1">
      <c r="A46" s="19" t="inlineStr"/>
      <c r="B46" s="54" t="inlineStr">
        <is>
          <t>Rite of Passage</t>
        </is>
      </c>
      <c r="C46" s="19" t="inlineStr">
        <is>
          <t>Charm</t>
        </is>
      </c>
      <c r="D46" s="23" t="inlineStr">
        <is>
          <t>Luxo</t>
        </is>
      </c>
      <c r="E46" s="55" t="n">
        <v>15</v>
      </c>
      <c r="F46" s="56" t="n">
        <v>0.1</v>
      </c>
      <c r="G46" s="19" t="inlineStr">
        <is>
          <t>Arbiter / Min-max</t>
        </is>
      </c>
      <c r="H46" s="19" t="inlineStr">
        <is>
          <t>Possessão por Azmeri Spirits ao matar raros/únicos. Luxo.</t>
        </is>
      </c>
      <c r="I46" s="19" t="inlineStr">
        <is>
          <t>Possessed by Spirit Of The Cat for 13 seconds on use
Possessed by Spirit Of The Stag for 15 seconds on use
Possessed by Spirit Of The Boar for (10-18) seconds on use
Possessed by Spirit Of The Serpent for (10-19) seconds on use
Possessed by Spirit Of The Primate for (10-18) seconds on use</t>
        </is>
      </c>
      <c r="J46" s="19" t="inlineStr">
        <is>
          <t>≈ 15 div</t>
        </is>
      </c>
    </row>
    <row r="47" ht="56" customHeight="1">
      <c r="A47" s="19" t="inlineStr"/>
      <c r="B47" s="54" t="inlineStr">
        <is>
          <t>Kalandra's Touch</t>
        </is>
      </c>
      <c r="C47" s="19" t="inlineStr">
        <is>
          <t>Anel</t>
        </is>
      </c>
      <c r="D47" s="23" t="inlineStr">
        <is>
          <t>Luxo</t>
        </is>
      </c>
      <c r="E47" s="55" t="n">
        <v>33</v>
      </c>
      <c r="F47" s="56" t="n">
        <v>0.06</v>
      </c>
      <c r="G47" s="19" t="inlineStr">
        <is>
          <t>Arbiter / Min-max</t>
        </is>
      </c>
      <c r="H47" s="19" t="inlineStr">
        <is>
          <t>Copia o outro anel (use com um anel rare perfeito).</t>
        </is>
      </c>
      <c r="I47" s="19" t="inlineStr">
        <is>
          <t>Reflects opposite Ring</t>
        </is>
      </c>
      <c r="J47" s="19" t="inlineStr">
        <is>
          <t>≈ 33 div</t>
        </is>
      </c>
    </row>
    <row r="48" ht="79" customHeight="1">
      <c r="A48" s="19" t="inlineStr"/>
      <c r="B48" s="54" t="inlineStr">
        <is>
          <t>Eshtera's Path</t>
        </is>
      </c>
      <c r="C48" s="19" t="inlineStr">
        <is>
          <t>Anel</t>
        </is>
      </c>
      <c r="D48" s="23" t="inlineStr">
        <is>
          <t>Luxo</t>
        </is>
      </c>
      <c r="E48" s="55" t="n">
        <v>34</v>
      </c>
      <c r="F48" s="56" t="n">
        <v>0.03</v>
      </c>
      <c r="G48" s="19" t="inlineStr">
        <is>
          <t>Arbiter / Min-max</t>
        </is>
      </c>
      <c r="H48" s="19" t="inlineStr">
        <is>
          <t>Aceita Sapphire jewel (minion crit/dano) e dá atributos + resists.</t>
        </is>
      </c>
      <c r="I48" s="19" t="inlineStr">
        <is>
          <t>You can only Socket Sapphire Jewels in this item
(10-20)% increased Rarity of Items found
+(10-24) to all Attributes
+(5-10)% to Fire and Cold Resistances per Equipped Item with a Lightning Resistance Modifier</t>
        </is>
      </c>
      <c r="J48" s="19" t="inlineStr">
        <is>
          <t>≈ 34 div</t>
        </is>
      </c>
    </row>
    <row r="49" ht="109" customHeight="1">
      <c r="A49" s="19" t="inlineStr"/>
      <c r="B49" s="54" t="inlineStr">
        <is>
          <t>Mageblood</t>
        </is>
      </c>
      <c r="C49" s="19" t="inlineStr">
        <is>
          <t>Cinto</t>
        </is>
      </c>
      <c r="D49" s="23" t="inlineStr">
        <is>
          <t>Luxo</t>
        </is>
      </c>
      <c r="E49" s="55" t="n">
        <v>570</v>
      </c>
      <c r="F49" s="56" t="n">
        <v>0.08</v>
      </c>
      <c r="G49" s="19" t="inlineStr">
        <is>
          <t>Arbiter / Min-max</t>
        </is>
      </c>
      <c r="H49" s="19" t="inlineStr">
        <is>
          <t>Luxo absoluto: legados de flask permanentes. 13 dos 24 zoos 98+ usam, mas não muda o funcionamento da build.</t>
        </is>
      </c>
      <c r="I49" s="19" t="inlineStr">
        <is>
          <t>Legacy of Bismuth
Legacy of Granite
Legacy of Quicksilver
Legacy of Amethyst
Legacy of Silver
Legacy of Diamond
Legacy of Stibnite</t>
        </is>
      </c>
      <c r="J49" s="19" t="inlineStr">
        <is>
          <t>≈ 570 div</t>
        </is>
      </c>
    </row>
    <row r="51" ht="22" customHeight="1">
      <c r="A51" s="13" t="inlineStr">
        <is>
          <t>IDOLS E SOUL CORES</t>
        </is>
      </c>
      <c r="B51" s="14" t="n"/>
      <c r="C51" s="14" t="n"/>
      <c r="D51" s="14" t="n"/>
      <c r="E51" s="14" t="n"/>
      <c r="F51" s="14" t="n"/>
      <c r="G51" s="14" t="n"/>
      <c r="H51" s="14" t="n"/>
      <c r="I51" s="14" t="n"/>
      <c r="J51" s="14" t="n"/>
    </row>
    <row r="52" ht="22" customHeight="1">
      <c r="A52" s="15" t="inlineStr"/>
      <c r="B52" s="15" t="inlineStr">
        <is>
          <t>Idol</t>
        </is>
      </c>
      <c r="C52" s="15" t="inlineStr">
        <is>
          <t>Onde</t>
        </is>
      </c>
      <c r="D52" s="15" t="inlineStr"/>
      <c r="E52" s="15" t="inlineStr">
        <is>
          <t>Preço (div)</t>
        </is>
      </c>
      <c r="F52" s="15" t="inlineStr"/>
      <c r="G52" s="15" t="inlineStr"/>
      <c r="H52" s="15" t="inlineStr">
        <is>
          <t>Efeito</t>
        </is>
      </c>
      <c r="I52" s="15" t="inlineStr"/>
      <c r="J52" s="15" t="inlineStr"/>
    </row>
    <row r="53" ht="34" customHeight="1">
      <c r="A53" s="19" t="inlineStr"/>
      <c r="B53" s="18" t="inlineStr">
        <is>
          <t>Primate Idol</t>
        </is>
      </c>
      <c r="C53" s="19" t="inlineStr">
        <is>
          <t>Sceptre / Capacete</t>
        </is>
      </c>
      <c r="D53" s="19" t="inlineStr"/>
      <c r="E53" s="57" t="n">
        <v>0.011</v>
      </c>
      <c r="F53" s="19" t="inlineStr"/>
      <c r="G53" s="19" t="inlineStr"/>
      <c r="H53" s="19" t="inlineStr">
        <is>
          <t>Sceptre: aliados na Presence +40% dano · Capacete: minions +15% vida</t>
        </is>
      </c>
      <c r="I53" s="19" t="inlineStr"/>
      <c r="J53" s="19" t="inlineStr"/>
    </row>
    <row r="54" ht="34" customHeight="1">
      <c r="A54" s="19" t="inlineStr"/>
      <c r="B54" s="18" t="inlineStr">
        <is>
          <t>Rabbit Idol</t>
        </is>
      </c>
      <c r="C54" s="19" t="inlineStr">
        <is>
          <t>Sceptre / Body</t>
        </is>
      </c>
      <c r="D54" s="19" t="inlineStr"/>
      <c r="E54" s="57" t="n">
        <v>0.094</v>
      </c>
      <c r="F54" s="19" t="inlineStr"/>
      <c r="G54" s="19" t="inlineStr"/>
      <c r="H54" s="19" t="inlineStr">
        <is>
          <t>Sceptre: +15% Spirit · Bonded: +30% recarga de Command</t>
        </is>
      </c>
      <c r="I54" s="19" t="inlineStr"/>
      <c r="J54" s="19" t="inlineStr"/>
    </row>
    <row r="55" ht="34" customHeight="1">
      <c r="A55" s="19" t="inlineStr"/>
      <c r="B55" s="18" t="inlineStr">
        <is>
          <t>Idol of Ralakesh</t>
        </is>
      </c>
      <c r="C55" s="19" t="inlineStr">
        <is>
          <t>Capacete / Sceptre</t>
        </is>
      </c>
      <c r="D55" s="19" t="inlineStr"/>
      <c r="E55" s="57" t="n">
        <v>0.056</v>
      </c>
      <c r="F55" s="19" t="inlineStr"/>
      <c r="G55" s="19" t="inlineStr"/>
      <c r="H55" s="19" t="inlineStr">
        <is>
          <t>Capacete: +8% reservation efficiency de minions · Sceptre bonded: companions +25% vida</t>
        </is>
      </c>
      <c r="I55" s="19" t="inlineStr"/>
      <c r="J55" s="19" t="inlineStr"/>
    </row>
    <row r="56" ht="34" customHeight="1">
      <c r="A56" s="19" t="inlineStr"/>
      <c r="B56" s="18" t="inlineStr">
        <is>
          <t>Fox Idol</t>
        </is>
      </c>
      <c r="C56" s="19" t="inlineStr">
        <is>
          <t>Body / Sceptre</t>
        </is>
      </c>
      <c r="D56" s="19" t="inlineStr"/>
      <c r="E56" s="57" t="n">
        <v>0.196</v>
      </c>
      <c r="F56" s="19" t="inlineStr"/>
      <c r="G56" s="19" t="inlineStr"/>
      <c r="H56" s="19" t="inlineStr">
        <is>
          <t>Body: ativa os Bonded dos Idols do item · Sceptre: +50% Presence</t>
        </is>
      </c>
      <c r="I56" s="19" t="inlineStr"/>
      <c r="J56" s="19" t="inlineStr"/>
    </row>
    <row r="57" ht="34" customHeight="1">
      <c r="A57" s="19" t="inlineStr"/>
      <c r="B57" s="18" t="inlineStr">
        <is>
          <t>Carved Majesty</t>
        </is>
      </c>
      <c r="C57" s="19" t="inlineStr">
        <is>
          <t>Body / Luvas / Botas</t>
        </is>
      </c>
      <c r="D57" s="19" t="inlineStr"/>
      <c r="E57" s="57" t="n">
        <v>85.47</v>
      </c>
      <c r="F57" s="19" t="inlineStr"/>
      <c r="G57" s="19" t="inlineStr"/>
      <c r="H57" s="19" t="inlineStr">
        <is>
          <t>Body: +3 Spirit por Idol equipado · Luvas: Onslaught nos alvos marcados · bonded: companions +30% dano</t>
        </is>
      </c>
      <c r="I57" s="19" t="inlineStr"/>
      <c r="J57" s="19" t="inlineStr"/>
    </row>
    <row r="58" ht="34" customHeight="1">
      <c r="A58" s="19" t="inlineStr"/>
      <c r="B58" s="18" t="inlineStr">
        <is>
          <t>Soul Core of Cholotl</t>
        </is>
      </c>
      <c r="C58" s="19" t="inlineStr">
        <is>
          <t>Arma / Armadura</t>
        </is>
      </c>
      <c r="D58" s="19" t="inlineStr"/>
      <c r="E58" s="57" t="n"/>
      <c r="F58" s="19" t="inlineStr"/>
      <c r="G58" s="19" t="inlineStr"/>
      <c r="H58" s="19" t="inlineStr">
        <is>
          <t>Converte 40% dos requisitos em Dexterity (ajuda Chober Chaber)</t>
        </is>
      </c>
      <c r="I58" s="19" t="inlineStr"/>
      <c r="J58" s="19" t="inlineStr"/>
    </row>
    <row r="59" ht="34" customHeight="1">
      <c r="A59" s="19" t="inlineStr"/>
      <c r="B59" s="18" t="inlineStr">
        <is>
          <t>Greater Rune of Leadership</t>
        </is>
      </c>
      <c r="C59" s="19" t="inlineStr">
        <is>
          <t>Arma / Armadura</t>
        </is>
      </c>
      <c r="D59" s="19" t="inlineStr"/>
      <c r="E59" s="57" t="n"/>
      <c r="F59" s="19" t="inlineStr"/>
      <c r="G59" s="19" t="inlineStr"/>
      <c r="H59" s="19" t="inlineStr">
        <is>
          <t>Arma: minions 10% phys como lightning · bonded: +20% dano de minion</t>
        </is>
      </c>
      <c r="I59" s="19" t="inlineStr"/>
      <c r="J59" s="19" t="inlineStr"/>
    </row>
  </sheetData>
  <autoFilter ref="A3:J49"/>
  <mergeCells count="3">
    <mergeCell ref="A1:J1"/>
    <mergeCell ref="A51:J51"/>
    <mergeCell ref="A2:J2"/>
  </mergeCells>
  <conditionalFormatting sqref="D4:D49">
    <cfRule type="cellIs" priority="1" operator="equal" dxfId="5">
      <formula>"Barato"</formula>
    </cfRule>
    <cfRule type="cellIs" priority="2" operator="equal" dxfId="2">
      <formula>"Valor"</formula>
    </cfRule>
    <cfRule type="cellIs" priority="3" operator="equal" dxfId="6">
      <formula>"Luxo"</formula>
    </cfRule>
  </conditionalFormatting>
  <pageMargins left="0.75" right="0.75" top="1" bottom="1" header="0.5" footer="0.5"/>
  <drawing xmlns:r="http://schemas.openxmlformats.org/officeDocument/2006/relationships" r:id="rId1"/>
</worksheet>
</file>

<file path=xl/worksheets/sheet16.xml><?xml version="1.0" encoding="utf-8"?>
<worksheet xmlns="http://schemas.openxmlformats.org/spreadsheetml/2006/main">
  <sheetPr>
    <tabColor rgb="00C98E2B"/>
    <outlinePr summaryBelow="1" summaryRight="1"/>
    <pageSetUpPr/>
  </sheetPr>
  <dimension ref="A1:E295"/>
  <sheetViews>
    <sheetView showGridLines="0" zoomScale="100" workbookViewId="0">
      <pane ySplit="3" topLeftCell="A4" activePane="bottomLeft" state="frozen"/>
      <selection pane="bottomLeft" activeCell="A1" sqref="A1"/>
    </sheetView>
  </sheetViews>
  <sheetFormatPr baseColWidth="8" defaultRowHeight="15"/>
  <cols>
    <col width="7" customWidth="1" min="1" max="1"/>
    <col width="30" customWidth="1" min="2" max="2"/>
    <col width="12" customWidth="1" min="3" max="3"/>
    <col width="8" customWidth="1" min="4" max="4"/>
    <col width="70" customWidth="1" min="5" max="5"/>
    <col width="4" customWidth="1" min="6" max="6"/>
  </cols>
  <sheetData>
    <row r="1" ht="34" customHeight="1">
      <c r="A1" s="1" t="inlineStr">
        <is>
          <t>PASSIVAS &amp; SETS POR FASE — nossa rota</t>
        </is>
      </c>
      <c r="B1" s="2" t="n"/>
      <c r="C1" s="2" t="n"/>
      <c r="D1" s="2" t="n"/>
      <c r="E1" s="2" t="n"/>
    </row>
    <row r="2" ht="30" customHeight="1">
      <c r="A2" s="3" t="inlineStr">
        <is>
          <t>Atos 1–2: leveling de spear. Ato 3+: árvore própria (consenso dos 24 zoos top, sem nós de ataque) e sets com uniques no set principal, barato e completo. Árvore visual no app.</t>
        </is>
      </c>
      <c r="B2" s="2" t="n"/>
      <c r="C2" s="2" t="n"/>
      <c r="D2" s="2" t="n"/>
      <c r="E2" s="2" t="n"/>
    </row>
    <row r="4" ht="22" customHeight="1">
      <c r="A4" s="13" t="inlineStr">
        <is>
          <t>ATO 1 · 18 pontos principais</t>
        </is>
      </c>
      <c r="B4" s="14" t="n"/>
      <c r="C4" s="14" t="n"/>
      <c r="D4" s="14" t="n"/>
      <c r="E4" s="14" t="n"/>
    </row>
    <row r="5" ht="22" customHeight="1">
      <c r="A5" s="15" t="inlineStr"/>
      <c r="B5" s="15" t="inlineStr">
        <is>
          <t>Notable</t>
        </is>
      </c>
      <c r="C5" s="15" t="inlineStr">
        <is>
          <t>Árvore</t>
        </is>
      </c>
      <c r="D5" s="15" t="inlineStr">
        <is>
          <t>Novo?</t>
        </is>
      </c>
      <c r="E5" s="15" t="inlineStr">
        <is>
          <t>Efeito</t>
        </is>
      </c>
    </row>
    <row r="6" ht="32" customHeight="1">
      <c r="A6" s="19" t="inlineStr"/>
      <c r="B6" s="58" t="inlineStr">
        <is>
          <t>Primal Instinct</t>
        </is>
      </c>
      <c r="C6" s="19" t="inlineStr">
        <is>
          <t>Principal</t>
        </is>
      </c>
      <c r="D6" s="19" t="inlineStr">
        <is>
          <t>NOVO</t>
        </is>
      </c>
      <c r="E6" s="19" t="inlineStr">
        <is>
          <t>8% increased Attack Speed · 6% increased Area of Effect · +10 to Dexterity</t>
        </is>
      </c>
    </row>
    <row r="7" ht="32" customHeight="1">
      <c r="A7" s="19" t="inlineStr"/>
      <c r="B7" s="58" t="inlineStr">
        <is>
          <t>Stalk and Leap</t>
        </is>
      </c>
      <c r="C7" s="19" t="inlineStr">
        <is>
          <t>Principal</t>
        </is>
      </c>
      <c r="D7" s="19" t="inlineStr">
        <is>
          <t>NOVO</t>
        </is>
      </c>
      <c r="E7" s="19" t="inlineStr">
        <is>
          <t>30% increased Melee Damage if you've dealt a Projectile Attack Hit in the past eight seconds · 30% increased Projectile Damage if you've dealt a Melee Hit in the past eight seconds</t>
        </is>
      </c>
    </row>
    <row r="8" ht="32" customHeight="1">
      <c r="A8" s="19" t="inlineStr"/>
      <c r="B8" s="58" t="inlineStr">
        <is>
          <t>Disorientation</t>
        </is>
      </c>
      <c r="C8" s="19" t="inlineStr">
        <is>
          <t>Principal</t>
        </is>
      </c>
      <c r="D8" s="19" t="inlineStr">
        <is>
          <t>NOVO</t>
        </is>
      </c>
      <c r="E8" s="19" t="inlineStr">
        <is>
          <t>25% increased Blind duration · 25% increased Damage with Hits against Blinded Enemies</t>
        </is>
      </c>
    </row>
    <row r="9" ht="22" customHeight="1">
      <c r="A9" s="30" t="inlineStr"/>
      <c r="B9" s="30" t="inlineStr">
        <is>
          <t>Set de leveling (spear)</t>
        </is>
      </c>
      <c r="C9" s="30" t="inlineStr">
        <is>
          <t>Slot</t>
        </is>
      </c>
      <c r="D9" s="30" t="inlineStr">
        <is>
          <t>Único</t>
        </is>
      </c>
      <c r="E9" s="30" t="inlineStr">
        <is>
          <t>Mods que importam / sockets / nota</t>
        </is>
      </c>
    </row>
    <row r="10" ht="40" customHeight="1">
      <c r="A10" s="19" t="inlineStr"/>
      <c r="B10" s="18" t="inlineStr">
        <is>
          <t>Hunting Spear</t>
        </is>
      </c>
      <c r="C10" s="19" t="inlineStr">
        <is>
          <t>Arma (Set 1)</t>
        </is>
      </c>
      <c r="D10" s="19" t="inlineStr"/>
      <c r="E10" s="19" t="inlineStr">
        <is>
          <t>Adds 5 to 9 Physical Damage ; +17 to Accuracy Rating ; +10 to Strength ; Grants 2 Life per Enemy Hit ; 5% increased Light Radius</t>
        </is>
      </c>
    </row>
    <row r="11" ht="40" customHeight="1">
      <c r="A11" s="19" t="inlineStr"/>
      <c r="B11" s="18" t="inlineStr">
        <is>
          <t>Leather Buckler</t>
        </is>
      </c>
      <c r="C11" s="19" t="inlineStr">
        <is>
          <t>Offhand (Set 1)</t>
        </is>
      </c>
      <c r="D11" s="19" t="inlineStr"/>
      <c r="E11" s="19" t="inlineStr">
        <is>
          <t>—</t>
        </is>
      </c>
    </row>
    <row r="12" ht="40" customHeight="1">
      <c r="A12" s="19" t="inlineStr"/>
      <c r="B12" s="54" t="inlineStr">
        <is>
          <t>Surefooted Sigil</t>
        </is>
      </c>
      <c r="C12" s="19" t="inlineStr">
        <is>
          <t>Amuleto</t>
        </is>
      </c>
      <c r="D12" s="19" t="inlineStr">
        <is>
          <t>Sim</t>
        </is>
      </c>
      <c r="E12" s="19" t="inlineStr">
        <is>
          <t>—</t>
        </is>
      </c>
    </row>
    <row r="13" ht="40" customHeight="1">
      <c r="A13" s="19" t="inlineStr"/>
      <c r="B13" s="54" t="inlineStr">
        <is>
          <t>Meginord's Girdle</t>
        </is>
      </c>
      <c r="C13" s="19" t="inlineStr">
        <is>
          <t>Cinto</t>
        </is>
      </c>
      <c r="D13" s="19" t="inlineStr">
        <is>
          <t>Sim</t>
        </is>
      </c>
      <c r="E13" s="19" t="inlineStr">
        <is>
          <t>—</t>
        </is>
      </c>
    </row>
    <row r="14" ht="40" customHeight="1">
      <c r="A14" s="19" t="inlineStr"/>
      <c r="B14" s="54" t="inlineStr">
        <is>
          <t>Foxshade</t>
        </is>
      </c>
      <c r="C14" s="19" t="inlineStr">
        <is>
          <t>Body Armour</t>
        </is>
      </c>
      <c r="D14" s="19" t="inlineStr">
        <is>
          <t>Sim</t>
        </is>
      </c>
      <c r="E14" s="19" t="inlineStr">
        <is>
          <t>—</t>
        </is>
      </c>
    </row>
    <row r="15" ht="40" customHeight="1">
      <c r="A15" s="19" t="inlineStr"/>
      <c r="B15" s="54" t="inlineStr">
        <is>
          <t>Wanderlust</t>
        </is>
      </c>
      <c r="C15" s="19" t="inlineStr">
        <is>
          <t>Botas</t>
        </is>
      </c>
      <c r="D15" s="19" t="inlineStr">
        <is>
          <t>Sim</t>
        </is>
      </c>
      <c r="E15" s="19" t="inlineStr">
        <is>
          <t>—</t>
        </is>
      </c>
    </row>
    <row r="16" ht="40" customHeight="1">
      <c r="A16" s="19" t="inlineStr"/>
      <c r="B16" s="18" t="inlineStr">
        <is>
          <t>Ruby Charm</t>
        </is>
      </c>
      <c r="C16" s="19" t="inlineStr">
        <is>
          <t>Charm</t>
        </is>
      </c>
      <c r="D16" s="19" t="inlineStr"/>
      <c r="E16" s="19" t="inlineStr">
        <is>
          <t>16% reduced Charges per use</t>
        </is>
      </c>
    </row>
    <row r="17" ht="40" customHeight="1">
      <c r="A17" s="19" t="inlineStr"/>
      <c r="B17" s="18" t="inlineStr">
        <is>
          <t>Topaz Charm</t>
        </is>
      </c>
      <c r="C17" s="19" t="inlineStr">
        <is>
          <t>Charm</t>
        </is>
      </c>
      <c r="D17" s="19" t="inlineStr"/>
      <c r="E17" s="19" t="inlineStr">
        <is>
          <t>18% increased Duration ; 21% Chance to gain a Charge when you kill an enemy</t>
        </is>
      </c>
    </row>
    <row r="18" ht="40" customHeight="1">
      <c r="A18" s="19" t="inlineStr"/>
      <c r="B18" s="18" t="inlineStr">
        <is>
          <t>Stocky Mitts</t>
        </is>
      </c>
      <c r="C18" s="19" t="inlineStr">
        <is>
          <t>Luvas</t>
        </is>
      </c>
      <c r="D18" s="19" t="inlineStr"/>
      <c r="E18" s="19" t="inlineStr">
        <is>
          <t>Adds 2 to 3 Physical Damage to Attacks ; Adds 1 to 5 Lightning damage to Attacks ; +6 to Strength ; Gain 2 Life per Enemy Hit with Attacks</t>
        </is>
      </c>
    </row>
    <row r="19" ht="40" customHeight="1">
      <c r="A19" s="19" t="inlineStr"/>
      <c r="B19" s="54" t="inlineStr">
        <is>
          <t>Goldrim</t>
        </is>
      </c>
      <c r="C19" s="19" t="inlineStr">
        <is>
          <t>Capacete</t>
        </is>
      </c>
      <c r="D19" s="19" t="inlineStr">
        <is>
          <t>Sim</t>
        </is>
      </c>
      <c r="E19" s="19" t="inlineStr">
        <is>
          <t>—</t>
        </is>
      </c>
    </row>
    <row r="20" ht="40" customHeight="1">
      <c r="A20" s="19" t="inlineStr"/>
      <c r="B20" s="54" t="inlineStr">
        <is>
          <t>Blackheart</t>
        </is>
      </c>
      <c r="C20" s="19" t="inlineStr">
        <is>
          <t>Anel E</t>
        </is>
      </c>
      <c r="D20" s="19" t="inlineStr">
        <is>
          <t>Sim</t>
        </is>
      </c>
      <c r="E20" s="19" t="inlineStr">
        <is>
          <t>—</t>
        </is>
      </c>
    </row>
    <row r="21" ht="40" customHeight="1">
      <c r="A21" s="19" t="inlineStr"/>
      <c r="B21" s="54" t="inlineStr">
        <is>
          <t>Blackheart</t>
        </is>
      </c>
      <c r="C21" s="19" t="inlineStr">
        <is>
          <t>Anel D</t>
        </is>
      </c>
      <c r="D21" s="19" t="inlineStr">
        <is>
          <t>Sim</t>
        </is>
      </c>
      <c r="E21" s="19" t="inlineStr">
        <is>
          <t>—</t>
        </is>
      </c>
    </row>
    <row r="23" ht="22" customHeight="1">
      <c r="A23" s="13" t="inlineStr">
        <is>
          <t>ATO 2 · 20 pontos principais</t>
        </is>
      </c>
      <c r="B23" s="14" t="n"/>
      <c r="C23" s="14" t="n"/>
      <c r="D23" s="14" t="n"/>
      <c r="E23" s="14" t="n"/>
    </row>
    <row r="24" ht="22" customHeight="1">
      <c r="A24" s="15" t="inlineStr"/>
      <c r="B24" s="15" t="inlineStr">
        <is>
          <t>Notable</t>
        </is>
      </c>
      <c r="C24" s="15" t="inlineStr">
        <is>
          <t>Árvore</t>
        </is>
      </c>
      <c r="D24" s="15" t="inlineStr">
        <is>
          <t>Novo?</t>
        </is>
      </c>
      <c r="E24" s="15" t="inlineStr">
        <is>
          <t>Efeito</t>
        </is>
      </c>
    </row>
    <row r="25" ht="32" customHeight="1">
      <c r="A25" s="19" t="inlineStr"/>
      <c r="B25" s="18" t="inlineStr">
        <is>
          <t>Primal Instinct</t>
        </is>
      </c>
      <c r="C25" s="19" t="inlineStr">
        <is>
          <t>Principal</t>
        </is>
      </c>
      <c r="D25" s="19" t="inlineStr"/>
      <c r="E25" s="19" t="inlineStr">
        <is>
          <t>8% increased Attack Speed · 6% increased Area of Effect · +10 to Dexterity</t>
        </is>
      </c>
    </row>
    <row r="26" ht="32" customHeight="1">
      <c r="A26" s="19" t="inlineStr"/>
      <c r="B26" s="18" t="inlineStr">
        <is>
          <t>Stalk and Leap</t>
        </is>
      </c>
      <c r="C26" s="19" t="inlineStr">
        <is>
          <t>Principal</t>
        </is>
      </c>
      <c r="D26" s="19" t="inlineStr"/>
      <c r="E26" s="19" t="inlineStr">
        <is>
          <t>30% increased Melee Damage if you've dealt a Projectile Attack Hit in the past eight seconds · 30% increased Projectile Damage if you've dealt a Melee Hit in the past eight seconds</t>
        </is>
      </c>
    </row>
    <row r="27" ht="32" customHeight="1">
      <c r="A27" s="19" t="inlineStr"/>
      <c r="B27" s="18" t="inlineStr">
        <is>
          <t>Disorientation</t>
        </is>
      </c>
      <c r="C27" s="19" t="inlineStr">
        <is>
          <t>Principal</t>
        </is>
      </c>
      <c r="D27" s="19" t="inlineStr"/>
      <c r="E27" s="19" t="inlineStr">
        <is>
          <t>25% increased Blind duration · 25% increased Damage with Hits against Blinded Enemies</t>
        </is>
      </c>
    </row>
    <row r="28" ht="22" customHeight="1">
      <c r="A28" s="30" t="inlineStr"/>
      <c r="B28" s="30" t="inlineStr">
        <is>
          <t>Set de leveling (spear)</t>
        </is>
      </c>
      <c r="C28" s="30" t="inlineStr">
        <is>
          <t>Slot</t>
        </is>
      </c>
      <c r="D28" s="30" t="inlineStr">
        <is>
          <t>Único</t>
        </is>
      </c>
      <c r="E28" s="30" t="inlineStr">
        <is>
          <t>Mods que importam / sockets / nota</t>
        </is>
      </c>
    </row>
    <row r="29" ht="40" customHeight="1">
      <c r="A29" s="19" t="inlineStr"/>
      <c r="B29" s="54" t="inlineStr">
        <is>
          <t>Skysliver</t>
        </is>
      </c>
      <c r="C29" s="19" t="inlineStr">
        <is>
          <t>Arma (Set 1)</t>
        </is>
      </c>
      <c r="D29" s="19" t="inlineStr">
        <is>
          <t>Sim</t>
        </is>
      </c>
      <c r="E29" s="19" t="inlineStr">
        <is>
          <t>—</t>
        </is>
      </c>
    </row>
    <row r="30" ht="40" customHeight="1">
      <c r="A30" s="19" t="inlineStr"/>
      <c r="B30" s="54" t="inlineStr">
        <is>
          <t>Surefooted Sigil</t>
        </is>
      </c>
      <c r="C30" s="19" t="inlineStr">
        <is>
          <t>Amuleto</t>
        </is>
      </c>
      <c r="D30" s="19" t="inlineStr">
        <is>
          <t>Sim</t>
        </is>
      </c>
      <c r="E30" s="19" t="inlineStr">
        <is>
          <t>—</t>
        </is>
      </c>
    </row>
    <row r="31" ht="40" customHeight="1">
      <c r="A31" s="19" t="inlineStr"/>
      <c r="B31" s="54" t="inlineStr">
        <is>
          <t>Meginord's Girdle</t>
        </is>
      </c>
      <c r="C31" s="19" t="inlineStr">
        <is>
          <t>Cinto</t>
        </is>
      </c>
      <c r="D31" s="19" t="inlineStr">
        <is>
          <t>Sim</t>
        </is>
      </c>
      <c r="E31" s="19" t="inlineStr">
        <is>
          <t>—</t>
        </is>
      </c>
    </row>
    <row r="32" ht="40" customHeight="1">
      <c r="A32" s="19" t="inlineStr"/>
      <c r="B32" s="54" t="inlineStr">
        <is>
          <t>Foxshade</t>
        </is>
      </c>
      <c r="C32" s="19" t="inlineStr">
        <is>
          <t>Body Armour</t>
        </is>
      </c>
      <c r="D32" s="19" t="inlineStr">
        <is>
          <t>Sim</t>
        </is>
      </c>
      <c r="E32" s="19" t="inlineStr">
        <is>
          <t>—</t>
        </is>
      </c>
    </row>
    <row r="33" ht="40" customHeight="1">
      <c r="A33" s="19" t="inlineStr"/>
      <c r="B33" s="54" t="inlineStr">
        <is>
          <t>Wanderlust</t>
        </is>
      </c>
      <c r="C33" s="19" t="inlineStr">
        <is>
          <t>Botas</t>
        </is>
      </c>
      <c r="D33" s="19" t="inlineStr">
        <is>
          <t>Sim</t>
        </is>
      </c>
      <c r="E33" s="19" t="inlineStr">
        <is>
          <t>—</t>
        </is>
      </c>
    </row>
    <row r="34" ht="40" customHeight="1">
      <c r="A34" s="19" t="inlineStr"/>
      <c r="B34" s="18" t="inlineStr">
        <is>
          <t>Ruby Charm</t>
        </is>
      </c>
      <c r="C34" s="19" t="inlineStr">
        <is>
          <t>Charm</t>
        </is>
      </c>
      <c r="D34" s="19" t="inlineStr"/>
      <c r="E34" s="19" t="inlineStr">
        <is>
          <t>16% reduced Charges per use</t>
        </is>
      </c>
    </row>
    <row r="35" ht="40" customHeight="1">
      <c r="A35" s="19" t="inlineStr"/>
      <c r="B35" s="18" t="inlineStr">
        <is>
          <t>Topaz Charm</t>
        </is>
      </c>
      <c r="C35" s="19" t="inlineStr">
        <is>
          <t>Charm</t>
        </is>
      </c>
      <c r="D35" s="19" t="inlineStr"/>
      <c r="E35" s="19" t="inlineStr">
        <is>
          <t>18% increased Duration ; 21% Chance to gain a Charge when you kill an enemy</t>
        </is>
      </c>
    </row>
    <row r="36" ht="49" customHeight="1">
      <c r="A36" s="19" t="inlineStr"/>
      <c r="B36" s="18" t="inlineStr">
        <is>
          <t>Runeforged Bound Bracers</t>
        </is>
      </c>
      <c r="C36" s="19" t="inlineStr">
        <is>
          <t>Luvas</t>
        </is>
      </c>
      <c r="D36" s="19" t="inlineStr"/>
      <c r="E36" s="19" t="inlineStr">
        <is>
          <t>Adds 1 to 3 Cold damage to Attacks ; +1 to Level of all Melee Skills ; 6% increased Attack Speed ; +7% to Cold Resistance  |  Sockets/versão: Desert Rune (res. fogo)</t>
        </is>
      </c>
    </row>
    <row r="37" ht="40" customHeight="1">
      <c r="A37" s="19" t="inlineStr"/>
      <c r="B37" s="54" t="inlineStr">
        <is>
          <t>Goldrim</t>
        </is>
      </c>
      <c r="C37" s="19" t="inlineStr">
        <is>
          <t>Capacete</t>
        </is>
      </c>
      <c r="D37" s="19" t="inlineStr">
        <is>
          <t>Sim</t>
        </is>
      </c>
      <c r="E37" s="19" t="inlineStr">
        <is>
          <t>—</t>
        </is>
      </c>
    </row>
    <row r="38" ht="40" customHeight="1">
      <c r="A38" s="19" t="inlineStr"/>
      <c r="B38" s="54" t="inlineStr">
        <is>
          <t>Blackheart</t>
        </is>
      </c>
      <c r="C38" s="19" t="inlineStr">
        <is>
          <t>Anel E</t>
        </is>
      </c>
      <c r="D38" s="19" t="inlineStr">
        <is>
          <t>Sim</t>
        </is>
      </c>
      <c r="E38" s="19" t="inlineStr">
        <is>
          <t>—</t>
        </is>
      </c>
    </row>
    <row r="39" ht="40" customHeight="1">
      <c r="A39" s="19" t="inlineStr"/>
      <c r="B39" s="54" t="inlineStr">
        <is>
          <t>Blackheart</t>
        </is>
      </c>
      <c r="C39" s="19" t="inlineStr">
        <is>
          <t>Anel D</t>
        </is>
      </c>
      <c r="D39" s="19" t="inlineStr">
        <is>
          <t>Sim</t>
        </is>
      </c>
      <c r="E39" s="19" t="inlineStr">
        <is>
          <t>—</t>
        </is>
      </c>
    </row>
    <row r="41" ht="22" customHeight="1">
      <c r="A41" s="13" t="inlineStr">
        <is>
          <t>ATO 3 · 31 pontos principais  ·  árvore própria (zoos top, sem ataque)</t>
        </is>
      </c>
      <c r="B41" s="14" t="n"/>
      <c r="C41" s="14" t="n"/>
      <c r="D41" s="14" t="n"/>
      <c r="E41" s="14" t="n"/>
    </row>
    <row r="42" ht="22" customHeight="1">
      <c r="A42" s="15" t="inlineStr"/>
      <c r="B42" s="15" t="inlineStr">
        <is>
          <t>Notable</t>
        </is>
      </c>
      <c r="C42" s="15" t="inlineStr">
        <is>
          <t>Árvore</t>
        </is>
      </c>
      <c r="D42" s="15" t="inlineStr">
        <is>
          <t>Novo?</t>
        </is>
      </c>
      <c r="E42" s="15" t="inlineStr">
        <is>
          <t>Efeito</t>
        </is>
      </c>
    </row>
    <row r="43" ht="32" customHeight="1">
      <c r="A43" s="19" t="inlineStr"/>
      <c r="B43" s="58" t="inlineStr">
        <is>
          <t>Blur</t>
        </is>
      </c>
      <c r="C43" s="19" t="inlineStr">
        <is>
          <t>Principal</t>
        </is>
      </c>
      <c r="D43" s="19" t="inlineStr">
        <is>
          <t>NOVO</t>
        </is>
      </c>
      <c r="E43" s="19" t="inlineStr">
        <is>
          <t>4% increased Movement Speed · 20% increased Evasion Rating · +10 to Dexterity</t>
        </is>
      </c>
    </row>
    <row r="44" ht="32" customHeight="1">
      <c r="A44" s="19" t="inlineStr"/>
      <c r="B44" s="58" t="inlineStr">
        <is>
          <t>Catlike Agility</t>
        </is>
      </c>
      <c r="C44" s="19" t="inlineStr">
        <is>
          <t>Principal</t>
        </is>
      </c>
      <c r="D44" s="19" t="inlineStr">
        <is>
          <t>NOVO</t>
        </is>
      </c>
      <c r="E44" s="19" t="inlineStr">
        <is>
          <t>25% increased Evasion Rating · 40% increased Evasion Rating if you've Dodge Rolled Recently · 3% reduced Movement Speed Penalty from using Skills while moving</t>
        </is>
      </c>
    </row>
    <row r="45" ht="32" customHeight="1">
      <c r="A45" s="19" t="inlineStr"/>
      <c r="B45" s="58" t="inlineStr">
        <is>
          <t>Escape Velocity</t>
        </is>
      </c>
      <c r="C45" s="19" t="inlineStr">
        <is>
          <t>Principal</t>
        </is>
      </c>
      <c r="D45" s="19" t="inlineStr">
        <is>
          <t>NOVO</t>
        </is>
      </c>
      <c r="E45" s="19" t="inlineStr">
        <is>
          <t>3% increased Movement Speed · 30% increased Evasion Rating</t>
        </is>
      </c>
    </row>
    <row r="46" ht="32" customHeight="1">
      <c r="A46" s="19" t="inlineStr"/>
      <c r="B46" s="58" t="inlineStr">
        <is>
          <t>Bond of the Mamba</t>
        </is>
      </c>
      <c r="C46" s="19" t="inlineStr">
        <is>
          <t>Principal</t>
        </is>
      </c>
      <c r="D46" s="19" t="inlineStr">
        <is>
          <t>NOVO</t>
        </is>
      </c>
      <c r="E46" s="19" t="inlineStr">
        <is>
          <t>Gain 4% of Physical Damage as extra Chaos Damage · Companions gain 12% Damage as extra Chaos Damage</t>
        </is>
      </c>
    </row>
    <row r="47" ht="32" customHeight="1">
      <c r="A47" s="19" t="inlineStr"/>
      <c r="B47" s="58" t="inlineStr">
        <is>
          <t>Trusted Kinship</t>
        </is>
      </c>
      <c r="C47" s="19" t="inlineStr">
        <is>
          <t>Principal</t>
        </is>
      </c>
      <c r="D47" s="19" t="inlineStr">
        <is>
          <t>NOVO</t>
        </is>
      </c>
      <c r="E47" s="19" t="inlineStr">
        <is>
          <t>You can have two Companions of different types · 30% more Reservation Efficiency of Companion Skills · 20% less Reservation Efficiency of non-Companion Skills</t>
        </is>
      </c>
    </row>
    <row r="48" ht="32" customHeight="1">
      <c r="A48" s="19" t="inlineStr"/>
      <c r="B48" s="58" t="inlineStr">
        <is>
          <t>Unspoken Bond</t>
        </is>
      </c>
      <c r="C48" s="19" t="inlineStr">
        <is>
          <t>Principal</t>
        </is>
      </c>
      <c r="D48" s="19" t="inlineStr">
        <is>
          <t>NOVO</t>
        </is>
      </c>
      <c r="E48" s="19" t="inlineStr">
        <is>
          <t>Companions have +30% to Chaos Resistance · Companions have +30% to all Elemental Resistances</t>
        </is>
      </c>
    </row>
    <row r="49" ht="32" customHeight="1">
      <c r="A49" s="19" t="inlineStr"/>
      <c r="B49" s="58" t="inlineStr">
        <is>
          <t>Bond of the Cat</t>
        </is>
      </c>
      <c r="C49" s="19" t="inlineStr">
        <is>
          <t>Principal</t>
        </is>
      </c>
      <c r="D49" s="19" t="inlineStr">
        <is>
          <t>NOVO</t>
        </is>
      </c>
      <c r="E49" s="19" t="inlineStr">
        <is>
          <t>Companions have 20% increased Movement Speed · 5% reduced Movement Speed Penalty from using Skills while moving</t>
        </is>
      </c>
    </row>
    <row r="50" ht="22" customHeight="1">
      <c r="A50" s="30" t="inlineStr"/>
      <c r="B50" s="30" t="inlineStr">
        <is>
          <t>Set principal — BARATO</t>
        </is>
      </c>
      <c r="C50" s="30" t="inlineStr">
        <is>
          <t>Slot</t>
        </is>
      </c>
      <c r="D50" s="30" t="inlineStr">
        <is>
          <t>Único</t>
        </is>
      </c>
      <c r="E50" s="30" t="inlineStr">
        <is>
          <t>Mods que importam / sockets / nota</t>
        </is>
      </c>
    </row>
    <row r="51" ht="64" customHeight="1">
      <c r="A51" s="19" t="inlineStr"/>
      <c r="B51" s="18" t="inlineStr">
        <is>
          <t>Rattling Sceptre</t>
        </is>
      </c>
      <c r="C51" s="19" t="inlineStr">
        <is>
          <t>Arma (Set 1)</t>
        </is>
      </c>
      <c r="D51" s="19" t="inlineStr"/>
      <c r="E51" s="19" t="inlineStr">
        <is>
          <t>Grants Skill: Skeletal Warrior ; +1/+2 to Level of all Minion Skills ; % increased Spirit  |  Sockets/versão: Primate Idol (bonus de companion) · sem Idol: Body Rune (vida)  |  Base rare (não é unique) · qualquer um com +Minion Skills</t>
        </is>
      </c>
    </row>
    <row r="52" ht="49" customHeight="1">
      <c r="A52" s="19" t="inlineStr"/>
      <c r="B52" s="54" t="inlineStr">
        <is>
          <t>Trenchtimbre</t>
        </is>
      </c>
      <c r="C52" s="19" t="inlineStr">
        <is>
          <t>Offhand (Set 1)</t>
        </is>
      </c>
      <c r="D52" s="19" t="inlineStr">
        <is>
          <t>Sim</t>
        </is>
      </c>
      <c r="E52" s="19" t="inlineStr">
        <is>
          <t>+1 to Level of all Minion Skills ; (+3 mods de ataque/utilidade que não importam para o zoo)  |  Sockets/versão: Runa de resistência que faltar (Desert = fogo · Glacial = frio · Storm = raio)  |  +1 Minion Skills</t>
        </is>
      </c>
    </row>
    <row r="53" ht="49" customHeight="1">
      <c r="A53" s="19" t="inlineStr"/>
      <c r="B53" s="18" t="inlineStr">
        <is>
          <t>Capacete rare (Cultist Crown)</t>
        </is>
      </c>
      <c r="C53" s="19" t="inlineStr">
        <is>
          <t>Capacete</t>
        </is>
      </c>
      <c r="D53" s="19" t="inlineStr"/>
      <c r="E53" s="19" t="inlineStr">
        <is>
          <t>+1/+2 to Level of all Minion Skills ; +Life ; +Resistências  |  Sockets/versão: Runa de resistência que faltar (Desert = fogo · Glacial = frio · Storm = raio) · resist no cap: Body Rune (vida)</t>
        </is>
      </c>
    </row>
    <row r="54" ht="79" customHeight="1">
      <c r="A54" s="19" t="inlineStr"/>
      <c r="B54" s="54" t="inlineStr">
        <is>
          <t>Foxshade</t>
        </is>
      </c>
      <c r="C54" s="19" t="inlineStr">
        <is>
          <t>Body Armour</t>
        </is>
      </c>
      <c r="D54" s="19" t="inlineStr">
        <is>
          <t>Sim</t>
        </is>
      </c>
      <c r="E54" s="19" t="inlineStr">
        <is>
          <t>+(50-70) to Evasion Rating ; 10% increased Movement Speed when on Full Life ; 100% increased Evasion Rating when on Full Life ; (+1 mod de ataque/utilidade que não importa para o zoo)  |  Sockets/versão: Runa de resistência que faltar (Desert = fogo · Glacial = frio · Storm = raio) · resist no cap: Body Rune (vida)</t>
        </is>
      </c>
    </row>
    <row r="55" ht="49" customHeight="1">
      <c r="A55" s="19" t="inlineStr"/>
      <c r="B55" s="18" t="inlineStr">
        <is>
          <t>Luvas rare</t>
        </is>
      </c>
      <c r="C55" s="19" t="inlineStr">
        <is>
          <t>Luvas</t>
        </is>
      </c>
      <c r="D55" s="19" t="inlineStr"/>
      <c r="E55" s="19" t="inlineStr">
        <is>
          <t>+Life ; +Resistências ; +Evasion  |  Sockets/versão: Runa de resistência que faltar (Desert = fogo · Glacial = frio · Storm = raio) · resist no cap: Body Rune (vida)</t>
        </is>
      </c>
    </row>
    <row r="56" ht="64" customHeight="1">
      <c r="A56" s="19" t="inlineStr"/>
      <c r="B56" s="54" t="inlineStr">
        <is>
          <t>Wanderlust</t>
        </is>
      </c>
      <c r="C56" s="19" t="inlineStr">
        <is>
          <t>Botas</t>
        </is>
      </c>
      <c r="D56" s="19" t="inlineStr">
        <is>
          <t>Sim</t>
        </is>
      </c>
      <c r="E56" s="19" t="inlineStr">
        <is>
          <t>20% increased Movement Speed ; +(10-20) to maximum Energy Shield ; (+2 mods de ataque/utilidade que não importam para o zoo)  |  Sockets/versão: Runa de resistência que faltar (Desert = fogo · Glacial = frio · Storm = raio) · resist no cap: Body Rune (vida)</t>
        </is>
      </c>
    </row>
    <row r="57" ht="40" customHeight="1">
      <c r="A57" s="19" t="inlineStr"/>
      <c r="B57" s="18" t="inlineStr">
        <is>
          <t>Amuleto rare</t>
        </is>
      </c>
      <c r="C57" s="19" t="inlineStr">
        <is>
          <t>Amuleto</t>
        </is>
      </c>
      <c r="D57" s="19" t="inlineStr"/>
      <c r="E57" s="19" t="inlineStr">
        <is>
          <t>+1 to Level of all Minion Skills ; +Spirit ; +Life ; +Resistências</t>
        </is>
      </c>
    </row>
    <row r="58" ht="40" customHeight="1">
      <c r="A58" s="19" t="inlineStr"/>
      <c r="B58" s="54" t="inlineStr">
        <is>
          <t>Blackheart</t>
        </is>
      </c>
      <c r="C58" s="19" t="inlineStr">
        <is>
          <t>Anel E</t>
        </is>
      </c>
      <c r="D58" s="19" t="inlineStr">
        <is>
          <t>Sim</t>
        </is>
      </c>
      <c r="E58" s="19" t="inlineStr">
        <is>
          <t>(+4 mods de ataque/utilidade que não importam para o zoo)</t>
        </is>
      </c>
    </row>
    <row r="59" ht="40" customHeight="1">
      <c r="A59" s="19" t="inlineStr"/>
      <c r="B59" s="54" t="inlineStr">
        <is>
          <t>Blackheart</t>
        </is>
      </c>
      <c r="C59" s="19" t="inlineStr">
        <is>
          <t>Anel D</t>
        </is>
      </c>
      <c r="D59" s="19" t="inlineStr">
        <is>
          <t>Sim</t>
        </is>
      </c>
      <c r="E59" s="19" t="inlineStr">
        <is>
          <t>(+4 mods de ataque/utilidade que não importam para o zoo)</t>
        </is>
      </c>
    </row>
    <row r="60" ht="40" customHeight="1">
      <c r="A60" s="19" t="inlineStr"/>
      <c r="B60" s="54" t="inlineStr">
        <is>
          <t>Midnight Braid</t>
        </is>
      </c>
      <c r="C60" s="19" t="inlineStr">
        <is>
          <t>Cinto</t>
        </is>
      </c>
      <c r="D60" s="19" t="inlineStr">
        <is>
          <t>Sim</t>
        </is>
      </c>
      <c r="E60" s="19" t="inlineStr">
        <is>
          <t>+(30-50) to maximum Mana ; +(5-10)% to all Elemental Resistances ; (+1 mod de ataque/utilidade que não importa para o zoo)</t>
        </is>
      </c>
    </row>
    <row r="61" ht="22" customHeight="1">
      <c r="A61" s="30" t="inlineStr"/>
      <c r="B61" s="30" t="inlineStr">
        <is>
          <t>Set principal — COMPLETO</t>
        </is>
      </c>
      <c r="C61" s="30" t="inlineStr">
        <is>
          <t>Slot</t>
        </is>
      </c>
      <c r="D61" s="30" t="inlineStr">
        <is>
          <t>Único</t>
        </is>
      </c>
      <c r="E61" s="30" t="inlineStr">
        <is>
          <t>Mods que importam / sockets / nota</t>
        </is>
      </c>
    </row>
    <row r="62" ht="79" customHeight="1">
      <c r="A62" s="19" t="inlineStr"/>
      <c r="B62" s="54" t="inlineStr">
        <is>
          <t>Chober Chaber</t>
        </is>
      </c>
      <c r="C62" s="19" t="inlineStr">
        <is>
          <t>Arma (Set 1)</t>
        </is>
      </c>
      <c r="D62" s="19" t="inlineStr">
        <is>
          <t>Sim</t>
        </is>
      </c>
      <c r="E62" s="19" t="inlineStr">
        <is>
          <t>+(80-100) to maximum Mana ; +50 to Spirit ; +2 to Level of all Minion Skills ; Increases and Reductions to Minion Damage also affect you ; (+2 mods de ataque/utilidade que não importam para o zoo)  |  Sockets/versão: Runeforged, Soul Core de Dexterity (atributos), Soul Core de Dexterity (atributos)  |  Giant's Blood (Treefingers) + The Vertex para usar com sceptre</t>
        </is>
      </c>
    </row>
    <row r="63" ht="64" customHeight="1">
      <c r="A63" s="19" t="inlineStr"/>
      <c r="B63" s="18" t="inlineStr">
        <is>
          <t>Rattling Sceptre</t>
        </is>
      </c>
      <c r="C63" s="19" t="inlineStr">
        <is>
          <t>Offhand (Set 1)</t>
        </is>
      </c>
      <c r="D63" s="19" t="inlineStr"/>
      <c r="E63" s="19" t="inlineStr">
        <is>
          <t>Grants Skill: Skeletal Warrior ; +1/+2 to Level of all Minion Skills ; % increased Spirit  |  Sockets/versão: Primate Idol (bonus de companion) · sem Idol: Body Rune (vida)  |  Base rare (não é unique) · qualquer um com +Minion Skills</t>
        </is>
      </c>
    </row>
    <row r="64" ht="94" customHeight="1">
      <c r="A64" s="19" t="inlineStr"/>
      <c r="B64" s="54" t="inlineStr">
        <is>
          <t>The Vertex</t>
        </is>
      </c>
      <c r="C64" s="19" t="inlineStr">
        <is>
          <t>Capacete</t>
        </is>
      </c>
      <c r="D64" s="19" t="inlineStr">
        <is>
          <t>Sim</t>
        </is>
      </c>
      <c r="E64" s="19" t="inlineStr">
        <is>
          <t>Has no Attribute Requirements ; (100-150)% increased Evasion and Energy Shield ; +(13-17)% to Chaos Resistance ; Equipment has no Attribute Requirements ; Skill Gems have no Attribute Requirements ; (+1 mod de ataque/utilidade que não importa para o zoo)  |  Sockets/versão: Runa de resistência que faltar (Desert = fogo · Glacial = frio · Storm = raio) · resist no cap: Body Rune (vida)  |  versão Equipment has no Attribute Requirements</t>
        </is>
      </c>
    </row>
    <row r="65" ht="64" customHeight="1">
      <c r="A65" s="19" t="inlineStr"/>
      <c r="B65" s="54" t="inlineStr">
        <is>
          <t>Enfolding Dawn</t>
        </is>
      </c>
      <c r="C65" s="19" t="inlineStr">
        <is>
          <t>Body Armour</t>
        </is>
      </c>
      <c r="D65" s="19" t="inlineStr">
        <is>
          <t>Sim</t>
        </is>
      </c>
      <c r="E65" s="19" t="inlineStr">
        <is>
          <t>(50-100)% increased Armour and Energy Shield ; +100 to Spirit ; +(5-15)% to all Elemental Resistances ; (+1 mod de ataque/utilidade que não importa para o zoo)  |  Sockets/versão: Runa ancestral (Runeforged), Runa ancestral (Runeforged)  |  +100 Spirit</t>
        </is>
      </c>
    </row>
    <row r="66" ht="64" customHeight="1">
      <c r="A66" s="19" t="inlineStr"/>
      <c r="B66" s="54" t="inlineStr">
        <is>
          <t>Treefingers</t>
        </is>
      </c>
      <c r="C66" s="19" t="inlineStr">
        <is>
          <t>Luvas</t>
        </is>
      </c>
      <c r="D66" s="19" t="inlineStr">
        <is>
          <t>Sim</t>
        </is>
      </c>
      <c r="E66" s="19" t="inlineStr">
        <is>
          <t>+(15-20) to Strength ; Giant's Blood ; (+4 mods de ataque/utilidade que não importam para o zoo)  |  Sockets/versão: Runa de resistência que faltar (Desert = fogo · Glacial = frio · Storm = raio) · resist no cap: Body Rune (vida)  |  Giant's Blood</t>
        </is>
      </c>
    </row>
    <row r="67" ht="64" customHeight="1">
      <c r="A67" s="19" t="inlineStr"/>
      <c r="B67" s="54" t="inlineStr">
        <is>
          <t>Wanderlust</t>
        </is>
      </c>
      <c r="C67" s="19" t="inlineStr">
        <is>
          <t>Botas</t>
        </is>
      </c>
      <c r="D67" s="19" t="inlineStr">
        <is>
          <t>Sim</t>
        </is>
      </c>
      <c r="E67" s="19" t="inlineStr">
        <is>
          <t>20% increased Movement Speed ; +(10-20) to maximum Energy Shield ; (+2 mods de ataque/utilidade que não importam para o zoo)  |  Sockets/versão: Runa de resistência que faltar (Desert = fogo · Glacial = frio · Storm = raio) · resist no cap: Body Rune (vida)</t>
        </is>
      </c>
    </row>
    <row r="68" ht="40" customHeight="1">
      <c r="A68" s="19" t="inlineStr"/>
      <c r="B68" s="18" t="inlineStr">
        <is>
          <t>Amuleto rare</t>
        </is>
      </c>
      <c r="C68" s="19" t="inlineStr">
        <is>
          <t>Amuleto</t>
        </is>
      </c>
      <c r="D68" s="19" t="inlineStr"/>
      <c r="E68" s="19" t="inlineStr">
        <is>
          <t>+1 to Level of all Minion Skills ; +Spirit ; +Life ; +Resistências</t>
        </is>
      </c>
    </row>
    <row r="69" ht="40" customHeight="1">
      <c r="A69" s="19" t="inlineStr"/>
      <c r="B69" s="54" t="inlineStr">
        <is>
          <t>Blackheart</t>
        </is>
      </c>
      <c r="C69" s="19" t="inlineStr">
        <is>
          <t>Anel E</t>
        </is>
      </c>
      <c r="D69" s="19" t="inlineStr">
        <is>
          <t>Sim</t>
        </is>
      </c>
      <c r="E69" s="19" t="inlineStr">
        <is>
          <t>(+4 mods de ataque/utilidade que não importam para o zoo)</t>
        </is>
      </c>
    </row>
    <row r="70" ht="40" customHeight="1">
      <c r="A70" s="19" t="inlineStr"/>
      <c r="B70" s="54" t="inlineStr">
        <is>
          <t>Blackheart</t>
        </is>
      </c>
      <c r="C70" s="19" t="inlineStr">
        <is>
          <t>Anel D</t>
        </is>
      </c>
      <c r="D70" s="19" t="inlineStr">
        <is>
          <t>Sim</t>
        </is>
      </c>
      <c r="E70" s="19" t="inlineStr">
        <is>
          <t>(+4 mods de ataque/utilidade que não importam para o zoo)</t>
        </is>
      </c>
    </row>
    <row r="71" ht="40" customHeight="1">
      <c r="A71" s="19" t="inlineStr"/>
      <c r="B71" s="54" t="inlineStr">
        <is>
          <t>Midnight Braid</t>
        </is>
      </c>
      <c r="C71" s="19" t="inlineStr">
        <is>
          <t>Cinto</t>
        </is>
      </c>
      <c r="D71" s="19" t="inlineStr">
        <is>
          <t>Sim</t>
        </is>
      </c>
      <c r="E71" s="19" t="inlineStr">
        <is>
          <t>+(30-50) to maximum Mana ; +(5-10)% to all Elemental Resistances ; (+1 mod de ataque/utilidade que não importa para o zoo)</t>
        </is>
      </c>
    </row>
    <row r="73" ht="22" customHeight="1">
      <c r="A73" s="13" t="inlineStr">
        <is>
          <t>ATO 4 · 51 pontos principais  ·  árvore própria (zoos top, sem ataque)</t>
        </is>
      </c>
      <c r="B73" s="14" t="n"/>
      <c r="C73" s="14" t="n"/>
      <c r="D73" s="14" t="n"/>
      <c r="E73" s="14" t="n"/>
    </row>
    <row r="74" ht="22" customHeight="1">
      <c r="A74" s="15" t="inlineStr"/>
      <c r="B74" s="15" t="inlineStr">
        <is>
          <t>Notable</t>
        </is>
      </c>
      <c r="C74" s="15" t="inlineStr">
        <is>
          <t>Árvore</t>
        </is>
      </c>
      <c r="D74" s="15" t="inlineStr">
        <is>
          <t>Novo?</t>
        </is>
      </c>
      <c r="E74" s="15" t="inlineStr">
        <is>
          <t>Efeito</t>
        </is>
      </c>
    </row>
    <row r="75" ht="32" customHeight="1">
      <c r="A75" s="19" t="inlineStr"/>
      <c r="B75" s="18" t="inlineStr">
        <is>
          <t>Blur</t>
        </is>
      </c>
      <c r="C75" s="19" t="inlineStr">
        <is>
          <t>Principal</t>
        </is>
      </c>
      <c r="D75" s="19" t="inlineStr"/>
      <c r="E75" s="19" t="inlineStr">
        <is>
          <t>4% increased Movement Speed · 20% increased Evasion Rating · +10 to Dexterity</t>
        </is>
      </c>
    </row>
    <row r="76" ht="32" customHeight="1">
      <c r="A76" s="19" t="inlineStr"/>
      <c r="B76" s="18" t="inlineStr">
        <is>
          <t>Catlike Agility</t>
        </is>
      </c>
      <c r="C76" s="19" t="inlineStr">
        <is>
          <t>Principal</t>
        </is>
      </c>
      <c r="D76" s="19" t="inlineStr"/>
      <c r="E76" s="19" t="inlineStr">
        <is>
          <t>25% increased Evasion Rating · 40% increased Evasion Rating if you've Dodge Rolled Recently · 3% reduced Movement Speed Penalty from using Skills while moving</t>
        </is>
      </c>
    </row>
    <row r="77" ht="32" customHeight="1">
      <c r="A77" s="19" t="inlineStr"/>
      <c r="B77" s="18" t="inlineStr">
        <is>
          <t>Escape Velocity</t>
        </is>
      </c>
      <c r="C77" s="19" t="inlineStr">
        <is>
          <t>Principal</t>
        </is>
      </c>
      <c r="D77" s="19" t="inlineStr"/>
      <c r="E77" s="19" t="inlineStr">
        <is>
          <t>3% increased Movement Speed · 30% increased Evasion Rating</t>
        </is>
      </c>
    </row>
    <row r="78" ht="32" customHeight="1">
      <c r="A78" s="19" t="inlineStr"/>
      <c r="B78" s="58" t="inlineStr">
        <is>
          <t>Bond of the Wolf</t>
        </is>
      </c>
      <c r="C78" s="19" t="inlineStr">
        <is>
          <t>Principal</t>
        </is>
      </c>
      <c r="D78" s="19" t="inlineStr">
        <is>
          <t>NOVO</t>
        </is>
      </c>
      <c r="E78" s="19" t="inlineStr">
        <is>
          <t>6% increased Attack Speed · Companions have 50% chance to gain Onslaught on Kill</t>
        </is>
      </c>
    </row>
    <row r="79" ht="32" customHeight="1">
      <c r="A79" s="19" t="inlineStr"/>
      <c r="B79" s="18" t="inlineStr">
        <is>
          <t>Bond of the Mamba</t>
        </is>
      </c>
      <c r="C79" s="19" t="inlineStr">
        <is>
          <t>Principal</t>
        </is>
      </c>
      <c r="D79" s="19" t="inlineStr"/>
      <c r="E79" s="19" t="inlineStr">
        <is>
          <t>Gain 4% of Physical Damage as extra Chaos Damage · Companions gain 12% Damage as extra Chaos Damage</t>
        </is>
      </c>
    </row>
    <row r="80" ht="32" customHeight="1">
      <c r="A80" s="19" t="inlineStr"/>
      <c r="B80" s="18" t="inlineStr">
        <is>
          <t>Trusted Kinship</t>
        </is>
      </c>
      <c r="C80" s="19" t="inlineStr">
        <is>
          <t>Principal</t>
        </is>
      </c>
      <c r="D80" s="19" t="inlineStr"/>
      <c r="E80" s="19" t="inlineStr">
        <is>
          <t>You can have two Companions of different types · 30% more Reservation Efficiency of Companion Skills · 20% less Reservation Efficiency of non-Companion Skills</t>
        </is>
      </c>
    </row>
    <row r="81" ht="32" customHeight="1">
      <c r="A81" s="19" t="inlineStr"/>
      <c r="B81" s="58" t="inlineStr">
        <is>
          <t>Inspiring Ally (só passagem)</t>
        </is>
      </c>
      <c r="C81" s="19" t="inlineStr">
        <is>
          <t>Principal</t>
        </is>
      </c>
      <c r="D81" s="19" t="inlineStr">
        <is>
          <t>NOVO</t>
        </is>
      </c>
      <c r="E81" s="19" t="inlineStr">
        <is>
          <t>Increases and Reductions to Companion Damage also apply to you</t>
        </is>
      </c>
    </row>
    <row r="82" ht="32" customHeight="1">
      <c r="A82" s="19" t="inlineStr"/>
      <c r="B82" s="58" t="inlineStr">
        <is>
          <t>Easy Going</t>
        </is>
      </c>
      <c r="C82" s="19" t="inlineStr">
        <is>
          <t>Principal</t>
        </is>
      </c>
      <c r="D82" s="19" t="inlineStr">
        <is>
          <t>NOVO</t>
        </is>
      </c>
      <c r="E82" s="19" t="inlineStr">
        <is>
          <t>25% increased Reservation Efficiency of Companion Skills</t>
        </is>
      </c>
    </row>
    <row r="83" ht="32" customHeight="1">
      <c r="A83" s="19" t="inlineStr"/>
      <c r="B83" s="18" t="inlineStr">
        <is>
          <t>Unspoken Bond</t>
        </is>
      </c>
      <c r="C83" s="19" t="inlineStr">
        <is>
          <t>Principal</t>
        </is>
      </c>
      <c r="D83" s="19" t="inlineStr"/>
      <c r="E83" s="19" t="inlineStr">
        <is>
          <t>Companions have +30% to Chaos Resistance · Companions have +30% to all Elemental Resistances</t>
        </is>
      </c>
    </row>
    <row r="84" ht="32" customHeight="1">
      <c r="A84" s="19" t="inlineStr"/>
      <c r="B84" s="18" t="inlineStr">
        <is>
          <t>Bond of the Cat</t>
        </is>
      </c>
      <c r="C84" s="19" t="inlineStr">
        <is>
          <t>Principal</t>
        </is>
      </c>
      <c r="D84" s="19" t="inlineStr"/>
      <c r="E84" s="19" t="inlineStr">
        <is>
          <t>Companions have 20% increased Movement Speed · 5% reduced Movement Speed Penalty from using Skills while moving</t>
        </is>
      </c>
    </row>
    <row r="85" ht="22" customHeight="1">
      <c r="A85" s="30" t="inlineStr"/>
      <c r="B85" s="30" t="inlineStr">
        <is>
          <t>Set principal — BARATO</t>
        </is>
      </c>
      <c r="C85" s="30" t="inlineStr">
        <is>
          <t>Slot</t>
        </is>
      </c>
      <c r="D85" s="30" t="inlineStr">
        <is>
          <t>Único</t>
        </is>
      </c>
      <c r="E85" s="30" t="inlineStr">
        <is>
          <t>Mods que importam / sockets / nota</t>
        </is>
      </c>
    </row>
    <row r="86" ht="64" customHeight="1">
      <c r="A86" s="19" t="inlineStr"/>
      <c r="B86" s="18" t="inlineStr">
        <is>
          <t>Rattling Sceptre</t>
        </is>
      </c>
      <c r="C86" s="19" t="inlineStr">
        <is>
          <t>Arma (Set 1)</t>
        </is>
      </c>
      <c r="D86" s="19" t="inlineStr"/>
      <c r="E86" s="19" t="inlineStr">
        <is>
          <t>Grants Skill: Skeletal Warrior ; +1/+2 to Level of all Minion Skills ; % increased Spirit  |  Sockets/versão: Primate Idol (bonus de companion) · sem Idol: Body Rune (vida)  |  Base rare (não é unique) · qualquer um com +Minion Skills</t>
        </is>
      </c>
    </row>
    <row r="87" ht="49" customHeight="1">
      <c r="A87" s="19" t="inlineStr"/>
      <c r="B87" s="54" t="inlineStr">
        <is>
          <t>Trenchtimbre</t>
        </is>
      </c>
      <c r="C87" s="19" t="inlineStr">
        <is>
          <t>Offhand (Set 1)</t>
        </is>
      </c>
      <c r="D87" s="19" t="inlineStr">
        <is>
          <t>Sim</t>
        </is>
      </c>
      <c r="E87" s="19" t="inlineStr">
        <is>
          <t>+1 to Level of all Minion Skills ; (+3 mods de ataque/utilidade que não importam para o zoo)  |  Sockets/versão: Runa de resistência que faltar (Desert = fogo · Glacial = frio · Storm = raio)</t>
        </is>
      </c>
    </row>
    <row r="88" ht="49" customHeight="1">
      <c r="A88" s="19" t="inlineStr"/>
      <c r="B88" s="18" t="inlineStr">
        <is>
          <t>Capacete rare (Cultist Crown)</t>
        </is>
      </c>
      <c r="C88" s="19" t="inlineStr">
        <is>
          <t>Capacete</t>
        </is>
      </c>
      <c r="D88" s="19" t="inlineStr"/>
      <c r="E88" s="19" t="inlineStr">
        <is>
          <t>+1/+2 to Level of all Minion Skills ; +Life ; +Resistências  |  Sockets/versão: Runa de resistência que faltar (Desert = fogo · Glacial = frio · Storm = raio) · resist no cap: Body Rune (vida)</t>
        </is>
      </c>
    </row>
    <row r="89" ht="64" customHeight="1">
      <c r="A89" s="19" t="inlineStr"/>
      <c r="B89" s="54" t="inlineStr">
        <is>
          <t>Enfolding Dawn</t>
        </is>
      </c>
      <c r="C89" s="19" t="inlineStr">
        <is>
          <t>Body Armour</t>
        </is>
      </c>
      <c r="D89" s="19" t="inlineStr">
        <is>
          <t>Sim</t>
        </is>
      </c>
      <c r="E89" s="19" t="inlineStr">
        <is>
          <t>(50-100)% increased Armour and Energy Shield ; +100 to Spirit ; +(5-15)% to all Elemental Resistances ; (+1 mod de ataque/utilidade que não importa para o zoo)  |  Sockets/versão: Runa ancestral (Runeforged), Runa ancestral (Runeforged)  |  +100 Spirit</t>
        </is>
      </c>
    </row>
    <row r="90" ht="49" customHeight="1">
      <c r="A90" s="19" t="inlineStr"/>
      <c r="B90" s="18" t="inlineStr">
        <is>
          <t>Luvas rare</t>
        </is>
      </c>
      <c r="C90" s="19" t="inlineStr">
        <is>
          <t>Luvas</t>
        </is>
      </c>
      <c r="D90" s="19" t="inlineStr"/>
      <c r="E90" s="19" t="inlineStr">
        <is>
          <t>+Life ; +Resistências ; +Evasion  |  Sockets/versão: Runa de resistência que faltar (Desert = fogo · Glacial = frio · Storm = raio) · resist no cap: Body Rune (vida)</t>
        </is>
      </c>
    </row>
    <row r="91" ht="64" customHeight="1">
      <c r="A91" s="19" t="inlineStr"/>
      <c r="B91" s="54" t="inlineStr">
        <is>
          <t>Bushwhack</t>
        </is>
      </c>
      <c r="C91" s="19" t="inlineStr">
        <is>
          <t>Botas</t>
        </is>
      </c>
      <c r="D91" s="19" t="inlineStr">
        <is>
          <t>Sim</t>
        </is>
      </c>
      <c r="E91" s="19" t="inlineStr">
        <is>
          <t>(15-25)% increased Movement Speed ; (50-80)% increased Evasion Rating ; (+2 mods de ataque/utilidade que não importam para o zoo)  |  Sockets/versão: Runa de resistência que faltar (Desert = fogo · Glacial = frio · Storm = raio) · resist no cap: Body Rune (vida)</t>
        </is>
      </c>
    </row>
    <row r="92" ht="40" customHeight="1">
      <c r="A92" s="19" t="inlineStr"/>
      <c r="B92" s="18" t="inlineStr">
        <is>
          <t>Amuleto rare</t>
        </is>
      </c>
      <c r="C92" s="19" t="inlineStr">
        <is>
          <t>Amuleto</t>
        </is>
      </c>
      <c r="D92" s="19" t="inlineStr"/>
      <c r="E92" s="19" t="inlineStr">
        <is>
          <t>+1 to Level of all Minion Skills ; +Spirit ; +Life ; +Resistências</t>
        </is>
      </c>
    </row>
    <row r="93" ht="49" customHeight="1">
      <c r="A93" s="19" t="inlineStr"/>
      <c r="B93" s="54" t="inlineStr">
        <is>
          <t>Evergrasping Ring</t>
        </is>
      </c>
      <c r="C93" s="19" t="inlineStr">
        <is>
          <t>Anel E</t>
        </is>
      </c>
      <c r="D93" s="19" t="inlineStr">
        <is>
          <t>Sim</t>
        </is>
      </c>
      <c r="E93" s="19" t="inlineStr">
        <is>
          <t>+(60-100) to maximum Mana ; Allies in your Presence Gain (15-25)% of Damage as Extra Chaos Damage ; Enemies in your Presence Gain (6-12)% of Damage as Extra Chaos Damage</t>
        </is>
      </c>
    </row>
    <row r="94" ht="49" customHeight="1">
      <c r="A94" s="19" t="inlineStr"/>
      <c r="B94" s="54" t="inlineStr">
        <is>
          <t>Evergrasping Ring</t>
        </is>
      </c>
      <c r="C94" s="19" t="inlineStr">
        <is>
          <t>Anel D</t>
        </is>
      </c>
      <c r="D94" s="19" t="inlineStr">
        <is>
          <t>Sim</t>
        </is>
      </c>
      <c r="E94" s="19" t="inlineStr">
        <is>
          <t>+(60-100) to maximum Mana ; Allies in your Presence Gain (15-25)% of Damage as Extra Chaos Damage ; Enemies in your Presence Gain (6-12)% of Damage as Extra Chaos Damage</t>
        </is>
      </c>
    </row>
    <row r="95" ht="40" customHeight="1">
      <c r="A95" s="19" t="inlineStr"/>
      <c r="B95" s="54" t="inlineStr">
        <is>
          <t>Midnight Braid</t>
        </is>
      </c>
      <c r="C95" s="19" t="inlineStr">
        <is>
          <t>Cinto</t>
        </is>
      </c>
      <c r="D95" s="19" t="inlineStr">
        <is>
          <t>Sim</t>
        </is>
      </c>
      <c r="E95" s="19" t="inlineStr">
        <is>
          <t>+(30-50) to maximum Mana ; +(5-10)% to all Elemental Resistances ; (+1 mod de ataque/utilidade que não importa para o zoo)</t>
        </is>
      </c>
    </row>
    <row r="96" ht="49" customHeight="1">
      <c r="A96" s="19" t="inlineStr"/>
      <c r="B96" s="54" t="inlineStr">
        <is>
          <t>Beira's Anguish</t>
        </is>
      </c>
      <c r="C96" s="19" t="inlineStr">
        <is>
          <t>Charm</t>
        </is>
      </c>
      <c r="D96" s="19" t="inlineStr">
        <is>
          <t>Sim</t>
        </is>
      </c>
      <c r="E96" s="19" t="inlineStr">
        <is>
          <t>(20-25)% Chance to gain a Charge when you kill an enemy ; Creates Ignited Ground for 4 seconds when used, Igniting enemies as though dealing Fire damage equal to 500% of your maximum Life</t>
        </is>
      </c>
    </row>
    <row r="97" ht="40" customHeight="1">
      <c r="A97" s="19" t="inlineStr"/>
      <c r="B97" s="54" t="inlineStr">
        <is>
          <t>Sanguis Heroum</t>
        </is>
      </c>
      <c r="C97" s="19" t="inlineStr">
        <is>
          <t>Charm</t>
        </is>
      </c>
      <c r="D97" s="19" t="inlineStr">
        <is>
          <t>Sim</t>
        </is>
      </c>
      <c r="E97" s="19" t="inlineStr">
        <is>
          <t>Gains (0.15-0.2) Charges per Second ; Creates Consecrated Ground on use</t>
        </is>
      </c>
    </row>
    <row r="98" ht="22" customHeight="1">
      <c r="A98" s="30" t="inlineStr"/>
      <c r="B98" s="30" t="inlineStr">
        <is>
          <t>Set principal — COMPLETO</t>
        </is>
      </c>
      <c r="C98" s="30" t="inlineStr">
        <is>
          <t>Slot</t>
        </is>
      </c>
      <c r="D98" s="30" t="inlineStr">
        <is>
          <t>Único</t>
        </is>
      </c>
      <c r="E98" s="30" t="inlineStr">
        <is>
          <t>Mods que importam / sockets / nota</t>
        </is>
      </c>
    </row>
    <row r="99" ht="79" customHeight="1">
      <c r="A99" s="19" t="inlineStr"/>
      <c r="B99" s="54" t="inlineStr">
        <is>
          <t>Chober Chaber</t>
        </is>
      </c>
      <c r="C99" s="19" t="inlineStr">
        <is>
          <t>Arma (Set 1)</t>
        </is>
      </c>
      <c r="D99" s="19" t="inlineStr">
        <is>
          <t>Sim</t>
        </is>
      </c>
      <c r="E99" s="19" t="inlineStr">
        <is>
          <t>+(80-100) to maximum Mana ; +50 to Spirit ; +2 to Level of all Minion Skills ; Increases and Reductions to Minion Damage also affect you ; (+2 mods de ataque/utilidade que não importam para o zoo)  |  Sockets/versão: Runeforged, Soul Core de Dexterity (atributos), Soul Core de Dexterity (atributos)  |  Giant's Blood (Treefingers) + The Vertex para usar com sceptre</t>
        </is>
      </c>
    </row>
    <row r="100" ht="64" customHeight="1">
      <c r="A100" s="19" t="inlineStr"/>
      <c r="B100" s="18" t="inlineStr">
        <is>
          <t>Rattling Sceptre</t>
        </is>
      </c>
      <c r="C100" s="19" t="inlineStr">
        <is>
          <t>Offhand (Set 1)</t>
        </is>
      </c>
      <c r="D100" s="19" t="inlineStr"/>
      <c r="E100" s="19" t="inlineStr">
        <is>
          <t>Grants Skill: Skeletal Warrior ; +1/+2 to Level of all Minion Skills ; % increased Spirit  |  Sockets/versão: Primate Idol (bonus de companion) · sem Idol: Body Rune (vida)  |  Base rare (não é unique) · qualquer um com +Minion Skills</t>
        </is>
      </c>
    </row>
    <row r="101" ht="94" customHeight="1">
      <c r="A101" s="19" t="inlineStr"/>
      <c r="B101" s="54" t="inlineStr">
        <is>
          <t>The Vertex</t>
        </is>
      </c>
      <c r="C101" s="19" t="inlineStr">
        <is>
          <t>Capacete</t>
        </is>
      </c>
      <c r="D101" s="19" t="inlineStr">
        <is>
          <t>Sim</t>
        </is>
      </c>
      <c r="E101" s="19" t="inlineStr">
        <is>
          <t>Has no Attribute Requirements ; (100-150)% increased Evasion and Energy Shield ; +(13-17)% to Chaos Resistance ; Equipment has no Attribute Requirements ; Skill Gems have no Attribute Requirements ; (+1 mod de ataque/utilidade que não importa para o zoo)  |  Sockets/versão: Runa de resistência que faltar (Desert = fogo · Glacial = frio · Storm = raio) · resist no cap: Body Rune (vida)</t>
        </is>
      </c>
    </row>
    <row r="102" ht="64" customHeight="1">
      <c r="A102" s="19" t="inlineStr"/>
      <c r="B102" s="54" t="inlineStr">
        <is>
          <t>Enfolding Dawn</t>
        </is>
      </c>
      <c r="C102" s="19" t="inlineStr">
        <is>
          <t>Body Armour</t>
        </is>
      </c>
      <c r="D102" s="19" t="inlineStr">
        <is>
          <t>Sim</t>
        </is>
      </c>
      <c r="E102" s="19" t="inlineStr">
        <is>
          <t>(50-100)% increased Armour and Energy Shield ; +100 to Spirit ; +(5-15)% to all Elemental Resistances ; (+1 mod de ataque/utilidade que não importa para o zoo)  |  Sockets/versão: Runa ancestral (Runeforged), Runa ancestral (Runeforged)</t>
        </is>
      </c>
    </row>
    <row r="103" ht="49" customHeight="1">
      <c r="A103" s="19" t="inlineStr"/>
      <c r="B103" s="54" t="inlineStr">
        <is>
          <t>Treefingers</t>
        </is>
      </c>
      <c r="C103" s="19" t="inlineStr">
        <is>
          <t>Luvas</t>
        </is>
      </c>
      <c r="D103" s="19" t="inlineStr">
        <is>
          <t>Sim</t>
        </is>
      </c>
      <c r="E103" s="19" t="inlineStr">
        <is>
          <t>+(15-20) to Strength ; Giant's Blood ; (+4 mods de ataque/utilidade que não importam para o zoo)  |  Sockets/versão: Runa de resistência que faltar (Desert = fogo · Glacial = frio · Storm = raio) · resist no cap: Body Rune (vida)</t>
        </is>
      </c>
    </row>
    <row r="104" ht="64" customHeight="1">
      <c r="A104" s="19" t="inlineStr"/>
      <c r="B104" s="54" t="inlineStr">
        <is>
          <t>Bushwhack</t>
        </is>
      </c>
      <c r="C104" s="19" t="inlineStr">
        <is>
          <t>Botas</t>
        </is>
      </c>
      <c r="D104" s="19" t="inlineStr">
        <is>
          <t>Sim</t>
        </is>
      </c>
      <c r="E104" s="19" t="inlineStr">
        <is>
          <t>(15-25)% increased Movement Speed ; (50-80)% increased Evasion Rating ; (+2 mods de ataque/utilidade que não importam para o zoo)  |  Sockets/versão: Runa de resistência que faltar (Desert = fogo · Glacial = frio · Storm = raio) · resist no cap: Body Rune (vida)</t>
        </is>
      </c>
    </row>
    <row r="105" ht="40" customHeight="1">
      <c r="A105" s="19" t="inlineStr"/>
      <c r="B105" s="18" t="inlineStr">
        <is>
          <t>Amuleto rare</t>
        </is>
      </c>
      <c r="C105" s="19" t="inlineStr">
        <is>
          <t>Amuleto</t>
        </is>
      </c>
      <c r="D105" s="19" t="inlineStr"/>
      <c r="E105" s="19" t="inlineStr">
        <is>
          <t>+2 to Level of all Minion Skills ; +Spirit ; +Life ; +Resistências</t>
        </is>
      </c>
    </row>
    <row r="106" ht="49" customHeight="1">
      <c r="A106" s="19" t="inlineStr"/>
      <c r="B106" s="54" t="inlineStr">
        <is>
          <t>Evergrasping Ring</t>
        </is>
      </c>
      <c r="C106" s="19" t="inlineStr">
        <is>
          <t>Anel E</t>
        </is>
      </c>
      <c r="D106" s="19" t="inlineStr">
        <is>
          <t>Sim</t>
        </is>
      </c>
      <c r="E106" s="19" t="inlineStr">
        <is>
          <t>+(60-100) to maximum Mana ; Allies in your Presence Gain (15-25)% of Damage as Extra Chaos Damage ; Enemies in your Presence Gain (6-12)% of Damage as Extra Chaos Damage</t>
        </is>
      </c>
    </row>
    <row r="107" ht="49" customHeight="1">
      <c r="A107" s="19" t="inlineStr"/>
      <c r="B107" s="54" t="inlineStr">
        <is>
          <t>Evergrasping Ring</t>
        </is>
      </c>
      <c r="C107" s="19" t="inlineStr">
        <is>
          <t>Anel D</t>
        </is>
      </c>
      <c r="D107" s="19" t="inlineStr">
        <is>
          <t>Sim</t>
        </is>
      </c>
      <c r="E107" s="19" t="inlineStr">
        <is>
          <t>+(60-100) to maximum Mana ; Allies in your Presence Gain (15-25)% of Damage as Extra Chaos Damage ; Enemies in your Presence Gain (6-12)% of Damage as Extra Chaos Damage</t>
        </is>
      </c>
    </row>
    <row r="108" ht="40" customHeight="1">
      <c r="A108" s="19" t="inlineStr"/>
      <c r="B108" s="54" t="inlineStr">
        <is>
          <t>Midnight Braid</t>
        </is>
      </c>
      <c r="C108" s="19" t="inlineStr">
        <is>
          <t>Cinto</t>
        </is>
      </c>
      <c r="D108" s="19" t="inlineStr">
        <is>
          <t>Sim</t>
        </is>
      </c>
      <c r="E108" s="19" t="inlineStr">
        <is>
          <t>+(30-50) to maximum Mana ; +(5-10)% to all Elemental Resistances ; (+1 mod de ataque/utilidade que não importa para o zoo)</t>
        </is>
      </c>
    </row>
    <row r="109" ht="49" customHeight="1">
      <c r="A109" s="19" t="inlineStr"/>
      <c r="B109" s="54" t="inlineStr">
        <is>
          <t>Beira's Anguish</t>
        </is>
      </c>
      <c r="C109" s="19" t="inlineStr">
        <is>
          <t>Charm</t>
        </is>
      </c>
      <c r="D109" s="19" t="inlineStr">
        <is>
          <t>Sim</t>
        </is>
      </c>
      <c r="E109" s="19" t="inlineStr">
        <is>
          <t>(20-25)% Chance to gain a Charge when you kill an enemy ; Creates Ignited Ground for 4 seconds when used, Igniting enemies as though dealing Fire damage equal to 500% of your maximum Life</t>
        </is>
      </c>
    </row>
    <row r="110" ht="40" customHeight="1">
      <c r="A110" s="19" t="inlineStr"/>
      <c r="B110" s="54" t="inlineStr">
        <is>
          <t>Sanguis Heroum</t>
        </is>
      </c>
      <c r="C110" s="19" t="inlineStr">
        <is>
          <t>Charm</t>
        </is>
      </c>
      <c r="D110" s="19" t="inlineStr">
        <is>
          <t>Sim</t>
        </is>
      </c>
      <c r="E110" s="19" t="inlineStr">
        <is>
          <t>Gains (0.15-0.2) Charges per Second ; Creates Consecrated Ground on use</t>
        </is>
      </c>
    </row>
    <row r="112" ht="22" customHeight="1">
      <c r="A112" s="13" t="inlineStr">
        <is>
          <t>INTERLÚDIOS · 62 pontos principais  ·  árvore própria (zoos top, sem ataque)</t>
        </is>
      </c>
      <c r="B112" s="14" t="n"/>
      <c r="C112" s="14" t="n"/>
      <c r="D112" s="14" t="n"/>
      <c r="E112" s="14" t="n"/>
    </row>
    <row r="113" ht="22" customHeight="1">
      <c r="A113" s="15" t="inlineStr"/>
      <c r="B113" s="15" t="inlineStr">
        <is>
          <t>Notable</t>
        </is>
      </c>
      <c r="C113" s="15" t="inlineStr">
        <is>
          <t>Árvore</t>
        </is>
      </c>
      <c r="D113" s="15" t="inlineStr">
        <is>
          <t>Novo?</t>
        </is>
      </c>
      <c r="E113" s="15" t="inlineStr">
        <is>
          <t>Efeito</t>
        </is>
      </c>
    </row>
    <row r="114" ht="32" customHeight="1">
      <c r="A114" s="19" t="inlineStr"/>
      <c r="B114" s="18" t="inlineStr">
        <is>
          <t>Blur</t>
        </is>
      </c>
      <c r="C114" s="19" t="inlineStr">
        <is>
          <t>Principal</t>
        </is>
      </c>
      <c r="D114" s="19" t="inlineStr"/>
      <c r="E114" s="19" t="inlineStr">
        <is>
          <t>4% increased Movement Speed · 20% increased Evasion Rating · +10 to Dexterity</t>
        </is>
      </c>
    </row>
    <row r="115" ht="32" customHeight="1">
      <c r="A115" s="19" t="inlineStr"/>
      <c r="B115" s="18" t="inlineStr">
        <is>
          <t>Catlike Agility</t>
        </is>
      </c>
      <c r="C115" s="19" t="inlineStr">
        <is>
          <t>Principal</t>
        </is>
      </c>
      <c r="D115" s="19" t="inlineStr"/>
      <c r="E115" s="19" t="inlineStr">
        <is>
          <t>25% increased Evasion Rating · 40% increased Evasion Rating if you've Dodge Rolled Recently · 3% reduced Movement Speed Penalty from using Skills while moving</t>
        </is>
      </c>
    </row>
    <row r="116" ht="32" customHeight="1">
      <c r="A116" s="19" t="inlineStr"/>
      <c r="B116" s="18" t="inlineStr">
        <is>
          <t>Escape Velocity</t>
        </is>
      </c>
      <c r="C116" s="19" t="inlineStr">
        <is>
          <t>Principal</t>
        </is>
      </c>
      <c r="D116" s="19" t="inlineStr"/>
      <c r="E116" s="19" t="inlineStr">
        <is>
          <t>3% increased Movement Speed · 30% increased Evasion Rating</t>
        </is>
      </c>
    </row>
    <row r="117" ht="32" customHeight="1">
      <c r="A117" s="19" t="inlineStr"/>
      <c r="B117" s="18" t="inlineStr">
        <is>
          <t>Bond of the Wolf</t>
        </is>
      </c>
      <c r="C117" s="19" t="inlineStr">
        <is>
          <t>Principal</t>
        </is>
      </c>
      <c r="D117" s="19" t="inlineStr"/>
      <c r="E117" s="19" t="inlineStr">
        <is>
          <t>6% increased Attack Speed · Companions have 50% chance to gain Onslaught on Kill</t>
        </is>
      </c>
    </row>
    <row r="118" ht="32" customHeight="1">
      <c r="A118" s="19" t="inlineStr"/>
      <c r="B118" s="58" t="inlineStr">
        <is>
          <t>Bond of the Owl</t>
        </is>
      </c>
      <c r="C118" s="19" t="inlineStr">
        <is>
          <t>Principal</t>
        </is>
      </c>
      <c r="D118" s="19" t="inlineStr">
        <is>
          <t>NOVO</t>
        </is>
      </c>
      <c r="E118" s="19" t="inlineStr">
        <is>
          <t>Gain 6% of Damage as Extra Cold Damage · Companions gain 12% Damage as extra Cold Damage</t>
        </is>
      </c>
    </row>
    <row r="119" ht="32" customHeight="1">
      <c r="A119" s="19" t="inlineStr"/>
      <c r="B119" s="18" t="inlineStr">
        <is>
          <t>Bond of the Mamba</t>
        </is>
      </c>
      <c r="C119" s="19" t="inlineStr">
        <is>
          <t>Principal</t>
        </is>
      </c>
      <c r="D119" s="19" t="inlineStr"/>
      <c r="E119" s="19" t="inlineStr">
        <is>
          <t>Gain 4% of Physical Damage as extra Chaos Damage · Companions gain 12% Damage as extra Chaos Damage</t>
        </is>
      </c>
    </row>
    <row r="120" ht="32" customHeight="1">
      <c r="A120" s="19" t="inlineStr"/>
      <c r="B120" s="18" t="inlineStr">
        <is>
          <t>Trusted Kinship</t>
        </is>
      </c>
      <c r="C120" s="19" t="inlineStr">
        <is>
          <t>Principal</t>
        </is>
      </c>
      <c r="D120" s="19" t="inlineStr"/>
      <c r="E120" s="19" t="inlineStr">
        <is>
          <t>You can have two Companions of different types · 30% more Reservation Efficiency of Companion Skills · 20% less Reservation Efficiency of non-Companion Skills</t>
        </is>
      </c>
    </row>
    <row r="121" ht="32" customHeight="1">
      <c r="A121" s="19" t="inlineStr"/>
      <c r="B121" s="18" t="inlineStr">
        <is>
          <t>Inspiring Ally (só passagem)</t>
        </is>
      </c>
      <c r="C121" s="19" t="inlineStr">
        <is>
          <t>Principal</t>
        </is>
      </c>
      <c r="D121" s="19" t="inlineStr"/>
      <c r="E121" s="19" t="inlineStr">
        <is>
          <t>Increases and Reductions to Companion Damage also apply to you</t>
        </is>
      </c>
    </row>
    <row r="122" ht="32" customHeight="1">
      <c r="A122" s="19" t="inlineStr"/>
      <c r="B122" s="18" t="inlineStr">
        <is>
          <t>Easy Going</t>
        </is>
      </c>
      <c r="C122" s="19" t="inlineStr">
        <is>
          <t>Principal</t>
        </is>
      </c>
      <c r="D122" s="19" t="inlineStr"/>
      <c r="E122" s="19" t="inlineStr">
        <is>
          <t>25% increased Reservation Efficiency of Companion Skills</t>
        </is>
      </c>
    </row>
    <row r="123" ht="32" customHeight="1">
      <c r="A123" s="19" t="inlineStr"/>
      <c r="B123" s="18" t="inlineStr">
        <is>
          <t>Unspoken Bond</t>
        </is>
      </c>
      <c r="C123" s="19" t="inlineStr">
        <is>
          <t>Principal</t>
        </is>
      </c>
      <c r="D123" s="19" t="inlineStr"/>
      <c r="E123" s="19" t="inlineStr">
        <is>
          <t>Companions have +30% to Chaos Resistance · Companions have +30% to all Elemental Resistances</t>
        </is>
      </c>
    </row>
    <row r="124" ht="32" customHeight="1">
      <c r="A124" s="19" t="inlineStr"/>
      <c r="B124" s="18" t="inlineStr">
        <is>
          <t>Bond of the Cat</t>
        </is>
      </c>
      <c r="C124" s="19" t="inlineStr">
        <is>
          <t>Principal</t>
        </is>
      </c>
      <c r="D124" s="19" t="inlineStr"/>
      <c r="E124" s="19" t="inlineStr">
        <is>
          <t>Companions have 20% increased Movement Speed · 5% reduced Movement Speed Penalty from using Skills while moving</t>
        </is>
      </c>
    </row>
    <row r="125" ht="22" customHeight="1">
      <c r="A125" s="30" t="inlineStr"/>
      <c r="B125" s="30" t="inlineStr">
        <is>
          <t>Set principal — BARATO</t>
        </is>
      </c>
      <c r="C125" s="30" t="inlineStr">
        <is>
          <t>Slot</t>
        </is>
      </c>
      <c r="D125" s="30" t="inlineStr">
        <is>
          <t>Único</t>
        </is>
      </c>
      <c r="E125" s="30" t="inlineStr">
        <is>
          <t>Mods que importam / sockets / nota</t>
        </is>
      </c>
    </row>
    <row r="126" ht="49" customHeight="1">
      <c r="A126" s="19" t="inlineStr"/>
      <c r="B126" s="54" t="inlineStr">
        <is>
          <t>Trenchtimbre</t>
        </is>
      </c>
      <c r="C126" s="19" t="inlineStr">
        <is>
          <t>Arma (Set 1)</t>
        </is>
      </c>
      <c r="D126" s="19" t="inlineStr">
        <is>
          <t>Sim</t>
        </is>
      </c>
      <c r="E126" s="19" t="inlineStr">
        <is>
          <t>+1 to Level of all Minion Skills ; (+3 mods de ataque/utilidade que não importam para o zoo)  |  Sockets/versão: Runa de resistência que faltar (Desert = fogo · Glacial = frio · Storm = raio)</t>
        </is>
      </c>
    </row>
    <row r="127" ht="64" customHeight="1">
      <c r="A127" s="19" t="inlineStr"/>
      <c r="B127" s="18" t="inlineStr">
        <is>
          <t>Rattling Sceptre</t>
        </is>
      </c>
      <c r="C127" s="19" t="inlineStr">
        <is>
          <t>Offhand (Set 1)</t>
        </is>
      </c>
      <c r="D127" s="19" t="inlineStr"/>
      <c r="E127" s="19" t="inlineStr">
        <is>
          <t>Grants Skill: Skeletal Warrior ; +1/+2 to Level of all Minion Skills ; % increased Spirit  |  Sockets/versão: Primate Idol (bonus de companion) · sem Idol: Body Rune (vida)  |  Base rare (não é unique) · qualquer um com +Minion Skills</t>
        </is>
      </c>
    </row>
    <row r="128" ht="40" customHeight="1">
      <c r="A128" s="19" t="inlineStr"/>
      <c r="B128" s="18" t="inlineStr">
        <is>
          <t>Runeforged Elite Greathelm</t>
        </is>
      </c>
      <c r="C128" s="19" t="inlineStr">
        <is>
          <t>Capacete</t>
        </is>
      </c>
      <c r="D128" s="19" t="inlineStr"/>
      <c r="E128" s="19" t="inlineStr">
        <is>
          <t>Runic Ward ; +Life ; +Resistências  |  Sockets/versão: Greater Glacial Rune (res. frio)</t>
        </is>
      </c>
    </row>
    <row r="129" ht="64" customHeight="1">
      <c r="A129" s="19" t="inlineStr"/>
      <c r="B129" s="54" t="inlineStr">
        <is>
          <t>Enfolding Dawn</t>
        </is>
      </c>
      <c r="C129" s="19" t="inlineStr">
        <is>
          <t>Body Armour</t>
        </is>
      </c>
      <c r="D129" s="19" t="inlineStr">
        <is>
          <t>Sim</t>
        </is>
      </c>
      <c r="E129" s="19" t="inlineStr">
        <is>
          <t>(50-100)% increased Armour and Energy Shield ; +100 to Spirit ; +(5-15)% to all Elemental Resistances ; (+1 mod de ataque/utilidade que não importa para o zoo)  |  Sockets/versão: Runa ancestral (Runeforged), Runa ancestral (Runeforged)</t>
        </is>
      </c>
    </row>
    <row r="130" ht="49" customHeight="1">
      <c r="A130" s="19" t="inlineStr"/>
      <c r="B130" s="18" t="inlineStr">
        <is>
          <t>Luvas rare</t>
        </is>
      </c>
      <c r="C130" s="19" t="inlineStr">
        <is>
          <t>Luvas</t>
        </is>
      </c>
      <c r="D130" s="19" t="inlineStr"/>
      <c r="E130" s="19" t="inlineStr">
        <is>
          <t>+Life ; +Resistências ; +Evasion  |  Sockets/versão: Runa de resistência que faltar (Desert = fogo · Glacial = frio · Storm = raio) · resist no cap: Body Rune (vida)</t>
        </is>
      </c>
    </row>
    <row r="131" ht="64" customHeight="1">
      <c r="A131" s="19" t="inlineStr"/>
      <c r="B131" s="54" t="inlineStr">
        <is>
          <t>Bushwhack</t>
        </is>
      </c>
      <c r="C131" s="19" t="inlineStr">
        <is>
          <t>Botas</t>
        </is>
      </c>
      <c r="D131" s="19" t="inlineStr">
        <is>
          <t>Sim</t>
        </is>
      </c>
      <c r="E131" s="19" t="inlineStr">
        <is>
          <t>(15-25)% increased Movement Speed ; (50-80)% increased Evasion Rating ; (+2 mods de ataque/utilidade que não importam para o zoo)  |  Sockets/versão: Runa de resistência que faltar (Desert = fogo · Glacial = frio · Storm = raio) · resist no cap: Body Rune (vida)</t>
        </is>
      </c>
    </row>
    <row r="132" ht="40" customHeight="1">
      <c r="A132" s="19" t="inlineStr"/>
      <c r="B132" s="18" t="inlineStr">
        <is>
          <t>Amuleto rare</t>
        </is>
      </c>
      <c r="C132" s="19" t="inlineStr">
        <is>
          <t>Amuleto</t>
        </is>
      </c>
      <c r="D132" s="19" t="inlineStr"/>
      <c r="E132" s="19" t="inlineStr">
        <is>
          <t>+1 to Level of all Minion Skills ; +Spirit ; +Life ; +Resistências</t>
        </is>
      </c>
    </row>
    <row r="133" ht="49" customHeight="1">
      <c r="A133" s="19" t="inlineStr"/>
      <c r="B133" s="54" t="inlineStr">
        <is>
          <t>Evergrasping Ring</t>
        </is>
      </c>
      <c r="C133" s="19" t="inlineStr">
        <is>
          <t>Anel E</t>
        </is>
      </c>
      <c r="D133" s="19" t="inlineStr">
        <is>
          <t>Sim</t>
        </is>
      </c>
      <c r="E133" s="19" t="inlineStr">
        <is>
          <t>+(60-100) to maximum Mana ; Allies in your Presence Gain (15-25)% of Damage as Extra Chaos Damage ; Enemies in your Presence Gain (6-12)% of Damage as Extra Chaos Damage</t>
        </is>
      </c>
    </row>
    <row r="134" ht="49" customHeight="1">
      <c r="A134" s="19" t="inlineStr"/>
      <c r="B134" s="54" t="inlineStr">
        <is>
          <t>Evergrasping Ring</t>
        </is>
      </c>
      <c r="C134" s="19" t="inlineStr">
        <is>
          <t>Anel D</t>
        </is>
      </c>
      <c r="D134" s="19" t="inlineStr">
        <is>
          <t>Sim</t>
        </is>
      </c>
      <c r="E134" s="19" t="inlineStr">
        <is>
          <t>+(60-100) to maximum Mana ; Allies in your Presence Gain (15-25)% of Damage as Extra Chaos Damage ; Enemies in your Presence Gain (6-12)% of Damage as Extra Chaos Damage</t>
        </is>
      </c>
    </row>
    <row r="135" ht="40" customHeight="1">
      <c r="A135" s="19" t="inlineStr"/>
      <c r="B135" s="54" t="inlineStr">
        <is>
          <t>Meginord's Girdle</t>
        </is>
      </c>
      <c r="C135" s="19" t="inlineStr">
        <is>
          <t>Cinto</t>
        </is>
      </c>
      <c r="D135" s="19" t="inlineStr">
        <is>
          <t>Sim</t>
        </is>
      </c>
      <c r="E135" s="19" t="inlineStr">
        <is>
          <t>+(40-50) to Strength ; +(10-15)% to Cold Resistance ; 50% increased Flask Charges used ; 100% increased Flask Charges gained</t>
        </is>
      </c>
    </row>
    <row r="136" ht="49" customHeight="1">
      <c r="A136" s="19" t="inlineStr"/>
      <c r="B136" s="54" t="inlineStr">
        <is>
          <t>Beira's Anguish</t>
        </is>
      </c>
      <c r="C136" s="19" t="inlineStr">
        <is>
          <t>Charm</t>
        </is>
      </c>
      <c r="D136" s="19" t="inlineStr">
        <is>
          <t>Sim</t>
        </is>
      </c>
      <c r="E136" s="19" t="inlineStr">
        <is>
          <t>(20-25)% Chance to gain a Charge when you kill an enemy ; Creates Ignited Ground for 4 seconds when used, Igniting enemies as though dealing Fire damage equal to 500% of your maximum Life</t>
        </is>
      </c>
    </row>
    <row r="137" ht="40" customHeight="1">
      <c r="A137" s="19" t="inlineStr"/>
      <c r="B137" s="54" t="inlineStr">
        <is>
          <t>Sanguis Heroum</t>
        </is>
      </c>
      <c r="C137" s="19" t="inlineStr">
        <is>
          <t>Charm</t>
        </is>
      </c>
      <c r="D137" s="19" t="inlineStr">
        <is>
          <t>Sim</t>
        </is>
      </c>
      <c r="E137" s="19" t="inlineStr">
        <is>
          <t>Gains (0.15-0.2) Charges per Second ; Creates Consecrated Ground on use</t>
        </is>
      </c>
    </row>
    <row r="138" ht="22" customHeight="1">
      <c r="A138" s="30" t="inlineStr"/>
      <c r="B138" s="30" t="inlineStr">
        <is>
          <t>Set principal — COMPLETO</t>
        </is>
      </c>
      <c r="C138" s="30" t="inlineStr">
        <is>
          <t>Slot</t>
        </is>
      </c>
      <c r="D138" s="30" t="inlineStr">
        <is>
          <t>Único</t>
        </is>
      </c>
      <c r="E138" s="30" t="inlineStr">
        <is>
          <t>Mods que importam / sockets / nota</t>
        </is>
      </c>
    </row>
    <row r="139" ht="79" customHeight="1">
      <c r="A139" s="19" t="inlineStr"/>
      <c r="B139" s="54" t="inlineStr">
        <is>
          <t>Chober Chaber</t>
        </is>
      </c>
      <c r="C139" s="19" t="inlineStr">
        <is>
          <t>Arma (Set 1)</t>
        </is>
      </c>
      <c r="D139" s="19" t="inlineStr">
        <is>
          <t>Sim</t>
        </is>
      </c>
      <c r="E139" s="19" t="inlineStr">
        <is>
          <t>+(80-100) to maximum Mana ; +50 to Spirit ; +2 to Level of all Minion Skills ; Increases and Reductions to Minion Damage also affect you ; (+2 mods de ataque/utilidade que não importam para o zoo)  |  Sockets/versão: Runeforged, Soul Core de Dexterity (atributos), Soul Core de Dexterity (atributos)  |  Giant's Blood (Treefingers) + The Vertex para usar com sceptre</t>
        </is>
      </c>
    </row>
    <row r="140" ht="64" customHeight="1">
      <c r="A140" s="19" t="inlineStr"/>
      <c r="B140" s="18" t="inlineStr">
        <is>
          <t>Rattling Sceptre</t>
        </is>
      </c>
      <c r="C140" s="19" t="inlineStr">
        <is>
          <t>Offhand (Set 1)</t>
        </is>
      </c>
      <c r="D140" s="19" t="inlineStr"/>
      <c r="E140" s="19" t="inlineStr">
        <is>
          <t>Grants Skill: Skeletal Warrior ; +1/+2 to Level of all Minion Skills ; % increased Spirit  |  Sockets/versão: Primate Idol (bonus de companion) · sem Idol: Body Rune (vida)  |  Base rare (não é unique) · qualquer um com +Minion Skills</t>
        </is>
      </c>
    </row>
    <row r="141" ht="94" customHeight="1">
      <c r="A141" s="19" t="inlineStr"/>
      <c r="B141" s="54" t="inlineStr">
        <is>
          <t>The Vertex</t>
        </is>
      </c>
      <c r="C141" s="19" t="inlineStr">
        <is>
          <t>Capacete</t>
        </is>
      </c>
      <c r="D141" s="19" t="inlineStr">
        <is>
          <t>Sim</t>
        </is>
      </c>
      <c r="E141" s="19" t="inlineStr">
        <is>
          <t>Has no Attribute Requirements ; (100-150)% increased Evasion and Energy Shield ; +(13-17)% to Chaos Resistance ; Equipment has no Attribute Requirements ; Skill Gems have no Attribute Requirements ; (+1 mod de ataque/utilidade que não importa para o zoo)  |  Sockets/versão: Runa de resistência que faltar (Desert = fogo · Glacial = frio · Storm = raio) · resist no cap: Body Rune (vida)</t>
        </is>
      </c>
    </row>
    <row r="142" ht="64" customHeight="1">
      <c r="A142" s="19" t="inlineStr"/>
      <c r="B142" s="54" t="inlineStr">
        <is>
          <t>Enfolding Dawn</t>
        </is>
      </c>
      <c r="C142" s="19" t="inlineStr">
        <is>
          <t>Body Armour</t>
        </is>
      </c>
      <c r="D142" s="19" t="inlineStr">
        <is>
          <t>Sim</t>
        </is>
      </c>
      <c r="E142" s="19" t="inlineStr">
        <is>
          <t>(50-100)% increased Armour and Energy Shield ; +100 to Spirit ; +(5-15)% to all Elemental Resistances ; (+1 mod de ataque/utilidade que não importa para o zoo)  |  Sockets/versão: Runa ancestral (Runeforged), Runa ancestral (Runeforged)</t>
        </is>
      </c>
    </row>
    <row r="143" ht="49" customHeight="1">
      <c r="A143" s="19" t="inlineStr"/>
      <c r="B143" s="54" t="inlineStr">
        <is>
          <t>Treefingers</t>
        </is>
      </c>
      <c r="C143" s="19" t="inlineStr">
        <is>
          <t>Luvas</t>
        </is>
      </c>
      <c r="D143" s="19" t="inlineStr">
        <is>
          <t>Sim</t>
        </is>
      </c>
      <c r="E143" s="19" t="inlineStr">
        <is>
          <t>+(15-20) to Strength ; Giant's Blood ; (+4 mods de ataque/utilidade que não importam para o zoo)  |  Sockets/versão: Runa de resistência que faltar (Desert = fogo · Glacial = frio · Storm = raio) · resist no cap: Body Rune (vida)</t>
        </is>
      </c>
    </row>
    <row r="144" ht="64" customHeight="1">
      <c r="A144" s="19" t="inlineStr"/>
      <c r="B144" s="54" t="inlineStr">
        <is>
          <t>Bushwhack</t>
        </is>
      </c>
      <c r="C144" s="19" t="inlineStr">
        <is>
          <t>Botas</t>
        </is>
      </c>
      <c r="D144" s="19" t="inlineStr">
        <is>
          <t>Sim</t>
        </is>
      </c>
      <c r="E144" s="19" t="inlineStr">
        <is>
          <t>(15-25)% increased Movement Speed ; (50-80)% increased Evasion Rating ; (+2 mods de ataque/utilidade que não importam para o zoo)  |  Sockets/versão: Runa de resistência que faltar (Desert = fogo · Glacial = frio · Storm = raio) · resist no cap: Body Rune (vida)</t>
        </is>
      </c>
    </row>
    <row r="145" ht="40" customHeight="1">
      <c r="A145" s="19" t="inlineStr"/>
      <c r="B145" s="18" t="inlineStr">
        <is>
          <t>Amuleto rare</t>
        </is>
      </c>
      <c r="C145" s="19" t="inlineStr">
        <is>
          <t>Amuleto</t>
        </is>
      </c>
      <c r="D145" s="19" t="inlineStr"/>
      <c r="E145" s="19" t="inlineStr">
        <is>
          <t>+2 to Level of all Minion Skills ; +Spirit ; +Life ; +Resistências</t>
        </is>
      </c>
    </row>
    <row r="146" ht="49" customHeight="1">
      <c r="A146" s="19" t="inlineStr"/>
      <c r="B146" s="54" t="inlineStr">
        <is>
          <t>Evergrasping Ring</t>
        </is>
      </c>
      <c r="C146" s="19" t="inlineStr">
        <is>
          <t>Anel E</t>
        </is>
      </c>
      <c r="D146" s="19" t="inlineStr">
        <is>
          <t>Sim</t>
        </is>
      </c>
      <c r="E146" s="19" t="inlineStr">
        <is>
          <t>+(60-100) to maximum Mana ; Allies in your Presence Gain (15-25)% of Damage as Extra Chaos Damage ; Enemies in your Presence Gain (6-12)% of Damage as Extra Chaos Damage</t>
        </is>
      </c>
    </row>
    <row r="147" ht="49" customHeight="1">
      <c r="A147" s="19" t="inlineStr"/>
      <c r="B147" s="54" t="inlineStr">
        <is>
          <t>Evergrasping Ring</t>
        </is>
      </c>
      <c r="C147" s="19" t="inlineStr">
        <is>
          <t>Anel D</t>
        </is>
      </c>
      <c r="D147" s="19" t="inlineStr">
        <is>
          <t>Sim</t>
        </is>
      </c>
      <c r="E147" s="19" t="inlineStr">
        <is>
          <t>+(60-100) to maximum Mana ; Allies in your Presence Gain (15-25)% of Damage as Extra Chaos Damage ; Enemies in your Presence Gain (6-12)% of Damage as Extra Chaos Damage</t>
        </is>
      </c>
    </row>
    <row r="148" ht="40" customHeight="1">
      <c r="A148" s="19" t="inlineStr"/>
      <c r="B148" s="54" t="inlineStr">
        <is>
          <t>Midnight Braid</t>
        </is>
      </c>
      <c r="C148" s="19" t="inlineStr">
        <is>
          <t>Cinto</t>
        </is>
      </c>
      <c r="D148" s="19" t="inlineStr">
        <is>
          <t>Sim</t>
        </is>
      </c>
      <c r="E148" s="19" t="inlineStr">
        <is>
          <t>+(30-50) to maximum Mana ; +(5-10)% to all Elemental Resistances ; (+1 mod de ataque/utilidade que não importa para o zoo)</t>
        </is>
      </c>
    </row>
    <row r="149" ht="49" customHeight="1">
      <c r="A149" s="19" t="inlineStr"/>
      <c r="B149" s="54" t="inlineStr">
        <is>
          <t>Beira's Anguish</t>
        </is>
      </c>
      <c r="C149" s="19" t="inlineStr">
        <is>
          <t>Charm</t>
        </is>
      </c>
      <c r="D149" s="19" t="inlineStr">
        <is>
          <t>Sim</t>
        </is>
      </c>
      <c r="E149" s="19" t="inlineStr">
        <is>
          <t>(20-25)% Chance to gain a Charge when you kill an enemy ; Creates Ignited Ground for 4 seconds when used, Igniting enemies as though dealing Fire damage equal to 500% of your maximum Life</t>
        </is>
      </c>
    </row>
    <row r="150" ht="40" customHeight="1">
      <c r="A150" s="19" t="inlineStr"/>
      <c r="B150" s="54" t="inlineStr">
        <is>
          <t>Sanguis Heroum</t>
        </is>
      </c>
      <c r="C150" s="19" t="inlineStr">
        <is>
          <t>Charm</t>
        </is>
      </c>
      <c r="D150" s="19" t="inlineStr">
        <is>
          <t>Sim</t>
        </is>
      </c>
      <c r="E150" s="19" t="inlineStr">
        <is>
          <t>Gains (0.15-0.2) Charges per Second ; Creates Consecrated Ground on use</t>
        </is>
      </c>
    </row>
    <row r="152" ht="22" customHeight="1">
      <c r="A152" s="13" t="inlineStr">
        <is>
          <t>INÍCIO DO ATLAS · 88 pontos principais  ·  árvore própria (zoos top, sem ataque)</t>
        </is>
      </c>
      <c r="B152" s="14" t="n"/>
      <c r="C152" s="14" t="n"/>
      <c r="D152" s="14" t="n"/>
      <c r="E152" s="14" t="n"/>
    </row>
    <row r="153" ht="22" customHeight="1">
      <c r="A153" s="15" t="inlineStr"/>
      <c r="B153" s="15" t="inlineStr">
        <is>
          <t>Notable</t>
        </is>
      </c>
      <c r="C153" s="15" t="inlineStr">
        <is>
          <t>Árvore</t>
        </is>
      </c>
      <c r="D153" s="15" t="inlineStr">
        <is>
          <t>Novo?</t>
        </is>
      </c>
      <c r="E153" s="15" t="inlineStr">
        <is>
          <t>Efeito</t>
        </is>
      </c>
    </row>
    <row r="154" ht="32" customHeight="1">
      <c r="A154" s="19" t="inlineStr"/>
      <c r="B154" s="18" t="inlineStr">
        <is>
          <t>Blur</t>
        </is>
      </c>
      <c r="C154" s="19" t="inlineStr">
        <is>
          <t>Principal</t>
        </is>
      </c>
      <c r="D154" s="19" t="inlineStr"/>
      <c r="E154" s="19" t="inlineStr">
        <is>
          <t>4% increased Movement Speed · 20% increased Evasion Rating · +10 to Dexterity</t>
        </is>
      </c>
    </row>
    <row r="155" ht="32" customHeight="1">
      <c r="A155" s="19" t="inlineStr"/>
      <c r="B155" s="18" t="inlineStr">
        <is>
          <t>Catlike Agility</t>
        </is>
      </c>
      <c r="C155" s="19" t="inlineStr">
        <is>
          <t>Principal</t>
        </is>
      </c>
      <c r="D155" s="19" t="inlineStr"/>
      <c r="E155" s="19" t="inlineStr">
        <is>
          <t>25% increased Evasion Rating · 40% increased Evasion Rating if you've Dodge Rolled Recently · 3% reduced Movement Speed Penalty from using Skills while moving</t>
        </is>
      </c>
    </row>
    <row r="156" ht="32" customHeight="1">
      <c r="A156" s="19" t="inlineStr"/>
      <c r="B156" s="18" t="inlineStr">
        <is>
          <t>Escape Velocity</t>
        </is>
      </c>
      <c r="C156" s="19" t="inlineStr">
        <is>
          <t>Principal</t>
        </is>
      </c>
      <c r="D156" s="19" t="inlineStr"/>
      <c r="E156" s="19" t="inlineStr">
        <is>
          <t>3% increased Movement Speed · 30% increased Evasion Rating</t>
        </is>
      </c>
    </row>
    <row r="157" ht="32" customHeight="1">
      <c r="A157" s="19" t="inlineStr"/>
      <c r="B157" s="58" t="inlineStr">
        <is>
          <t>Sturdy Ally</t>
        </is>
      </c>
      <c r="C157" s="19" t="inlineStr">
        <is>
          <t>Principal</t>
        </is>
      </c>
      <c r="D157" s="19" t="inlineStr">
        <is>
          <t>NOVO</t>
        </is>
      </c>
      <c r="E157" s="19" t="inlineStr">
        <is>
          <t>Companions gain your Strength · +15 to Strength</t>
        </is>
      </c>
    </row>
    <row r="158" ht="32" customHeight="1">
      <c r="A158" s="19" t="inlineStr"/>
      <c r="B158" s="58" t="inlineStr">
        <is>
          <t>Captivating Companionship</t>
        </is>
      </c>
      <c r="C158" s="19" t="inlineStr">
        <is>
          <t>Principal</t>
        </is>
      </c>
      <c r="D158" s="19" t="inlineStr">
        <is>
          <t>NOVO</t>
        </is>
      </c>
      <c r="E158" s="19" t="inlineStr">
        <is>
          <t>5% of Damage from Hits is taken from your Damageable Companion's Life before you · 20% increased Armour, Evasion and Energy Shield while your Companion is in your Presence</t>
        </is>
      </c>
    </row>
    <row r="159" ht="32" customHeight="1">
      <c r="A159" s="19" t="inlineStr"/>
      <c r="B159" s="18" t="inlineStr">
        <is>
          <t>Bond of the Wolf</t>
        </is>
      </c>
      <c r="C159" s="19" t="inlineStr">
        <is>
          <t>Principal</t>
        </is>
      </c>
      <c r="D159" s="19" t="inlineStr"/>
      <c r="E159" s="19" t="inlineStr">
        <is>
          <t>6% increased Attack Speed · Companions have 50% chance to gain Onslaught on Kill</t>
        </is>
      </c>
    </row>
    <row r="160" ht="32" customHeight="1">
      <c r="A160" s="19" t="inlineStr"/>
      <c r="B160" s="58" t="inlineStr">
        <is>
          <t>Sic 'Em</t>
        </is>
      </c>
      <c r="C160" s="19" t="inlineStr">
        <is>
          <t>Principal</t>
        </is>
      </c>
      <c r="D160" s="19" t="inlineStr">
        <is>
          <t>NOVO</t>
        </is>
      </c>
      <c r="E160" s="19" t="inlineStr">
        <is>
          <t>Companions deal 60% increased damage against Immobilised enemies</t>
        </is>
      </c>
    </row>
    <row r="161" ht="32" customHeight="1">
      <c r="A161" s="19" t="inlineStr"/>
      <c r="B161" s="18" t="inlineStr">
        <is>
          <t>Bond of the Owl</t>
        </is>
      </c>
      <c r="C161" s="19" t="inlineStr">
        <is>
          <t>Principal</t>
        </is>
      </c>
      <c r="D161" s="19" t="inlineStr"/>
      <c r="E161" s="19" t="inlineStr">
        <is>
          <t>Gain 6% of Damage as Extra Cold Damage · Companions gain 12% Damage as extra Cold Damage</t>
        </is>
      </c>
    </row>
    <row r="162" ht="32" customHeight="1">
      <c r="A162" s="19" t="inlineStr"/>
      <c r="B162" s="18" t="inlineStr">
        <is>
          <t>Bond of the Mamba</t>
        </is>
      </c>
      <c r="C162" s="19" t="inlineStr">
        <is>
          <t>Principal</t>
        </is>
      </c>
      <c r="D162" s="19" t="inlineStr"/>
      <c r="E162" s="19" t="inlineStr">
        <is>
          <t>Gain 4% of Physical Damage as extra Chaos Damage · Companions gain 12% Damage as extra Chaos Damage</t>
        </is>
      </c>
    </row>
    <row r="163" ht="32" customHeight="1">
      <c r="A163" s="19" t="inlineStr"/>
      <c r="B163" s="18" t="inlineStr">
        <is>
          <t>Trusted Kinship</t>
        </is>
      </c>
      <c r="C163" s="19" t="inlineStr">
        <is>
          <t>Principal</t>
        </is>
      </c>
      <c r="D163" s="19" t="inlineStr"/>
      <c r="E163" s="19" t="inlineStr">
        <is>
          <t>You can have two Companions of different types · 30% more Reservation Efficiency of Companion Skills · 20% less Reservation Efficiency of non-Companion Skills</t>
        </is>
      </c>
    </row>
    <row r="164" ht="32" customHeight="1">
      <c r="A164" s="19" t="inlineStr"/>
      <c r="B164" s="58" t="inlineStr">
        <is>
          <t>The Fabled Stag</t>
        </is>
      </c>
      <c r="C164" s="19" t="inlineStr">
        <is>
          <t>Principal</t>
        </is>
      </c>
      <c r="D164" s="19" t="inlineStr">
        <is>
          <t>NOVO</t>
        </is>
      </c>
      <c r="E164" s="19" t="inlineStr">
        <is>
          <t>40% increased Endurance, Frenzy and Power Charge Duration · +10 to Dexterity · Skills have 10% chance to not remove Charges but still count as consuming them</t>
        </is>
      </c>
    </row>
    <row r="165" ht="32" customHeight="1">
      <c r="A165" s="19" t="inlineStr"/>
      <c r="B165" s="58" t="inlineStr">
        <is>
          <t>Heartstopping</t>
        </is>
      </c>
      <c r="C165" s="19" t="inlineStr">
        <is>
          <t>Principal</t>
        </is>
      </c>
      <c r="D165" s="19" t="inlineStr">
        <is>
          <t>NOVO</t>
        </is>
      </c>
      <c r="E165" s="19" t="inlineStr">
        <is>
          <t>+10 to Intelligence · 20% increased Critical Hit Chance</t>
        </is>
      </c>
    </row>
    <row r="166" ht="32" customHeight="1">
      <c r="A166" s="19" t="inlineStr"/>
      <c r="B166" s="58" t="inlineStr">
        <is>
          <t>The Howling Primate</t>
        </is>
      </c>
      <c r="C166" s="19" t="inlineStr">
        <is>
          <t>Principal</t>
        </is>
      </c>
      <c r="D166" s="19" t="inlineStr">
        <is>
          <t>NOVO</t>
        </is>
      </c>
      <c r="E166" s="19" t="inlineStr">
        <is>
          <t>15% increased Presence Area of Effect · Aura Skills have 10% increased Magnitudes · +10 to Intelligence</t>
        </is>
      </c>
    </row>
    <row r="167" ht="32" customHeight="1">
      <c r="A167" s="19" t="inlineStr"/>
      <c r="B167" s="58" t="inlineStr">
        <is>
          <t>Enhanced Reflexes</t>
        </is>
      </c>
      <c r="C167" s="19" t="inlineStr">
        <is>
          <t>Principal</t>
        </is>
      </c>
      <c r="D167" s="19" t="inlineStr">
        <is>
          <t>NOVO</t>
        </is>
      </c>
      <c r="E167" s="19" t="inlineStr">
        <is>
          <t>20% increased Evasion Rating · Gain Deflection Rating equal to 5% of Evasion Rating · 8% increased Dexterity</t>
        </is>
      </c>
    </row>
    <row r="168" ht="32" customHeight="1">
      <c r="A168" s="19" t="inlineStr"/>
      <c r="B168" s="18" t="inlineStr">
        <is>
          <t>Inspiring Ally (só passagem)</t>
        </is>
      </c>
      <c r="C168" s="19" t="inlineStr">
        <is>
          <t>Principal</t>
        </is>
      </c>
      <c r="D168" s="19" t="inlineStr"/>
      <c r="E168" s="19" t="inlineStr">
        <is>
          <t>Increases and Reductions to Companion Damage also apply to you</t>
        </is>
      </c>
    </row>
    <row r="169" ht="32" customHeight="1">
      <c r="A169" s="19" t="inlineStr"/>
      <c r="B169" s="18" t="inlineStr">
        <is>
          <t>Easy Going</t>
        </is>
      </c>
      <c r="C169" s="19" t="inlineStr">
        <is>
          <t>Principal</t>
        </is>
      </c>
      <c r="D169" s="19" t="inlineStr"/>
      <c r="E169" s="19" t="inlineStr">
        <is>
          <t>25% increased Reservation Efficiency of Companion Skills</t>
        </is>
      </c>
    </row>
    <row r="170" ht="32" customHeight="1">
      <c r="A170" s="19" t="inlineStr"/>
      <c r="B170" s="18" t="inlineStr">
        <is>
          <t>Unspoken Bond</t>
        </is>
      </c>
      <c r="C170" s="19" t="inlineStr">
        <is>
          <t>Principal</t>
        </is>
      </c>
      <c r="D170" s="19" t="inlineStr"/>
      <c r="E170" s="19" t="inlineStr">
        <is>
          <t>Companions have +30% to Chaos Resistance · Companions have +30% to all Elemental Resistances</t>
        </is>
      </c>
    </row>
    <row r="171" ht="32" customHeight="1">
      <c r="A171" s="19" t="inlineStr"/>
      <c r="B171" s="18" t="inlineStr">
        <is>
          <t>Bond of the Cat</t>
        </is>
      </c>
      <c r="C171" s="19" t="inlineStr">
        <is>
          <t>Principal</t>
        </is>
      </c>
      <c r="D171" s="19" t="inlineStr"/>
      <c r="E171" s="19" t="inlineStr">
        <is>
          <t>Companions have 20% increased Movement Speed · 5% reduced Movement Speed Penalty from using Skills while moving</t>
        </is>
      </c>
    </row>
    <row r="172" ht="22" customHeight="1">
      <c r="A172" s="30" t="inlineStr"/>
      <c r="B172" s="30" t="inlineStr">
        <is>
          <t>Set principal — BARATO</t>
        </is>
      </c>
      <c r="C172" s="30" t="inlineStr">
        <is>
          <t>Slot</t>
        </is>
      </c>
      <c r="D172" s="30" t="inlineStr">
        <is>
          <t>Único</t>
        </is>
      </c>
      <c r="E172" s="30" t="inlineStr">
        <is>
          <t>Mods que importam / sockets / nota</t>
        </is>
      </c>
    </row>
    <row r="173" ht="64" customHeight="1">
      <c r="A173" s="19" t="inlineStr"/>
      <c r="B173" s="54" t="inlineStr">
        <is>
          <t>Trenchtimbre</t>
        </is>
      </c>
      <c r="C173" s="19" t="inlineStr">
        <is>
          <t>Arma (Set 1)</t>
        </is>
      </c>
      <c r="D173" s="19" t="inlineStr">
        <is>
          <t>Sim</t>
        </is>
      </c>
      <c r="E173" s="19" t="inlineStr">
        <is>
          <t>Adds (13-15) to (22-25) Physical Damage ; +1 to Level of all Minion Skills ; (+2 mods de ataque/utilidade que não importam para o zoo)  |  Sockets/versão: Runa de resistência que faltar (Desert = fogo · Glacial = frio · Storm = raio)  |  até juntar para a Chober</t>
        </is>
      </c>
    </row>
    <row r="174" ht="64" customHeight="1">
      <c r="A174" s="19" t="inlineStr"/>
      <c r="B174" s="18" t="inlineStr">
        <is>
          <t>Rattling Sceptre</t>
        </is>
      </c>
      <c r="C174" s="19" t="inlineStr">
        <is>
          <t>Offhand (Set 1)</t>
        </is>
      </c>
      <c r="D174" s="19" t="inlineStr"/>
      <c r="E174" s="19" t="inlineStr">
        <is>
          <t>Grants Skill: Skeletal Warrior ; +1/+2 to Level of all Minion Skills ; % increased Spirit  |  Sockets/versão: Primate Idol (bonus de companion) · sem Idol: Body Rune (vida)  |  Base rare (não é unique) · qualquer um com +Minion Skills</t>
        </is>
      </c>
    </row>
    <row r="175" ht="40" customHeight="1">
      <c r="A175" s="19" t="inlineStr"/>
      <c r="B175" s="18" t="inlineStr">
        <is>
          <t>Runeforged Elite Greathelm</t>
        </is>
      </c>
      <c r="C175" s="19" t="inlineStr">
        <is>
          <t>Capacete</t>
        </is>
      </c>
      <c r="D175" s="19" t="inlineStr"/>
      <c r="E175" s="19" t="inlineStr">
        <is>
          <t>Runic Ward (Refutation) ; +Life ; +Resistências  |  Sockets/versão: Greater Glacial Rune (res. frio)</t>
        </is>
      </c>
    </row>
    <row r="176" ht="40" customHeight="1">
      <c r="A176" s="19" t="inlineStr"/>
      <c r="B176" s="18" t="inlineStr">
        <is>
          <t>Runeforged Layered Vest</t>
        </is>
      </c>
      <c r="C176" s="19" t="inlineStr">
        <is>
          <t>Body Armour</t>
        </is>
      </c>
      <c r="D176" s="19" t="inlineStr"/>
      <c r="E176" s="19" t="inlineStr">
        <is>
          <t>Runic Ward ; +Evasion ; +Life  |  Sockets/versão: Runa ancestral (Runeforged), Greater Rune of Leadership</t>
        </is>
      </c>
    </row>
    <row r="177" ht="40" customHeight="1">
      <c r="A177" s="19" t="inlineStr"/>
      <c r="B177" s="18" t="inlineStr">
        <is>
          <t>Adorned Wraps</t>
        </is>
      </c>
      <c r="C177" s="19" t="inlineStr">
        <is>
          <t>Luvas</t>
        </is>
      </c>
      <c r="D177" s="19" t="inlineStr"/>
      <c r="E177" s="19" t="inlineStr">
        <is>
          <t>+Life ; +Resistências ; +Evasion  |  Sockets/versão: Greater Glacial Rune (res. frio)</t>
        </is>
      </c>
    </row>
    <row r="178" ht="40" customHeight="1">
      <c r="A178" s="19" t="inlineStr"/>
      <c r="B178" s="18" t="inlineStr">
        <is>
          <t>Shamanistic Leggings</t>
        </is>
      </c>
      <c r="C178" s="19" t="inlineStr">
        <is>
          <t>Botas</t>
        </is>
      </c>
      <c r="D178" s="19" t="inlineStr"/>
      <c r="E178" s="19" t="inlineStr">
        <is>
          <t>Movement Speed ; +Life ; +Resistências ; +Evasion  |  Sockets/versão: Soul Core (Enlighten)</t>
        </is>
      </c>
    </row>
    <row r="179" ht="40" customHeight="1">
      <c r="A179" s="19" t="inlineStr"/>
      <c r="B179" s="18" t="inlineStr">
        <is>
          <t>Amuleto rare</t>
        </is>
      </c>
      <c r="C179" s="19" t="inlineStr">
        <is>
          <t>Amuleto</t>
        </is>
      </c>
      <c r="D179" s="19" t="inlineStr"/>
      <c r="E179" s="19" t="inlineStr">
        <is>
          <t>+2 to Level of all Minion Skills ; +Spirit ; +Life ; +Resistências</t>
        </is>
      </c>
    </row>
    <row r="180" ht="49" customHeight="1">
      <c r="A180" s="19" t="inlineStr"/>
      <c r="B180" s="54" t="inlineStr">
        <is>
          <t>Evergrasping Ring</t>
        </is>
      </c>
      <c r="C180" s="19" t="inlineStr">
        <is>
          <t>Anel E</t>
        </is>
      </c>
      <c r="D180" s="19" t="inlineStr">
        <is>
          <t>Sim</t>
        </is>
      </c>
      <c r="E180" s="19" t="inlineStr">
        <is>
          <t>+(60-100) to maximum Mana ; Allies in your Presence Gain (15-25)% of Damage as Extra Chaos Damage ; Enemies in your Presence Gain (6-12)% of Damage as Extra Chaos Damage</t>
        </is>
      </c>
    </row>
    <row r="181" ht="49" customHeight="1">
      <c r="A181" s="19" t="inlineStr"/>
      <c r="B181" s="54" t="inlineStr">
        <is>
          <t>Evergrasping Ring</t>
        </is>
      </c>
      <c r="C181" s="19" t="inlineStr">
        <is>
          <t>Anel D</t>
        </is>
      </c>
      <c r="D181" s="19" t="inlineStr">
        <is>
          <t>Sim</t>
        </is>
      </c>
      <c r="E181" s="19" t="inlineStr">
        <is>
          <t>+(60-100) to maximum Mana ; Allies in your Presence Gain (15-25)% of Damage as Extra Chaos Damage ; Enemies in your Presence Gain (6-12)% of Damage as Extra Chaos Damage</t>
        </is>
      </c>
    </row>
    <row r="182" ht="40" customHeight="1">
      <c r="A182" s="19" t="inlineStr"/>
      <c r="B182" s="18" t="inlineStr">
        <is>
          <t>Linen Belt rare</t>
        </is>
      </c>
      <c r="C182" s="19" t="inlineStr">
        <is>
          <t>Cinto</t>
        </is>
      </c>
      <c r="D182" s="19" t="inlineStr"/>
      <c r="E182" s="19" t="inlineStr">
        <is>
          <t>+Life ; +Resistências ; +Evasion</t>
        </is>
      </c>
    </row>
    <row r="183" ht="49" customHeight="1">
      <c r="A183" s="19" t="inlineStr"/>
      <c r="B183" s="54" t="inlineStr">
        <is>
          <t>Beira's Anguish</t>
        </is>
      </c>
      <c r="C183" s="19" t="inlineStr">
        <is>
          <t>Charm</t>
        </is>
      </c>
      <c r="D183" s="19" t="inlineStr">
        <is>
          <t>Sim</t>
        </is>
      </c>
      <c r="E183" s="19" t="inlineStr">
        <is>
          <t>(20-25)% Chance to gain a Charge when you kill an enemy ; Creates Ignited Ground for 4 seconds when used, Igniting enemies as though dealing Fire damage equal to 500% of your maximum Life</t>
        </is>
      </c>
    </row>
    <row r="184" ht="40" customHeight="1">
      <c r="A184" s="19" t="inlineStr"/>
      <c r="B184" s="54" t="inlineStr">
        <is>
          <t>Sanguis Heroum</t>
        </is>
      </c>
      <c r="C184" s="19" t="inlineStr">
        <is>
          <t>Charm</t>
        </is>
      </c>
      <c r="D184" s="19" t="inlineStr">
        <is>
          <t>Sim</t>
        </is>
      </c>
      <c r="E184" s="19" t="inlineStr">
        <is>
          <t>Gains (0.15-0.2) Charges per Second ; Creates Consecrated Ground on use</t>
        </is>
      </c>
    </row>
    <row r="185" ht="22" customHeight="1">
      <c r="A185" s="30" t="inlineStr"/>
      <c r="B185" s="30" t="inlineStr">
        <is>
          <t>Set principal — COMPLETO</t>
        </is>
      </c>
      <c r="C185" s="30" t="inlineStr">
        <is>
          <t>Slot</t>
        </is>
      </c>
      <c r="D185" s="30" t="inlineStr">
        <is>
          <t>Único</t>
        </is>
      </c>
      <c r="E185" s="30" t="inlineStr">
        <is>
          <t>Mods que importam / sockets / nota</t>
        </is>
      </c>
    </row>
    <row r="186" ht="94" customHeight="1">
      <c r="A186" s="19" t="inlineStr"/>
      <c r="B186" s="54" t="inlineStr">
        <is>
          <t>Chober Chaber</t>
        </is>
      </c>
      <c r="C186" s="19" t="inlineStr">
        <is>
          <t>Arma (Set 1)</t>
        </is>
      </c>
      <c r="D186" s="19" t="inlineStr">
        <is>
          <t>Sim</t>
        </is>
      </c>
      <c r="E186" s="19" t="inlineStr">
        <is>
          <t>Adds (58-65) to (102-110) Physical Damage ; +(80-100) to maximum Mana ; +50 to Spirit ; +2 to Level of all Minion Skills ; Increases and Reductions to Minion Damage also affect you ; (+1 mod de ataque/utilidade que não importa para o zoo)  |  Sockets/versão: Runeforged, Soul Core de Dexterity (atributos), Soul Core de Dexterity (atributos)  |  Giant's Blood (Treefingers) + The Vertex para usar com sceptre</t>
        </is>
      </c>
    </row>
    <row r="187" ht="64" customHeight="1">
      <c r="A187" s="19" t="inlineStr"/>
      <c r="B187" s="18" t="inlineStr">
        <is>
          <t>Rattling Sceptre</t>
        </is>
      </c>
      <c r="C187" s="19" t="inlineStr">
        <is>
          <t>Offhand (Set 1)</t>
        </is>
      </c>
      <c r="D187" s="19" t="inlineStr"/>
      <c r="E187" s="19" t="inlineStr">
        <is>
          <t>Grants Skill: Skeletal Warrior ; +1/+2 to Level of all Minion Skills ; % increased Spirit  |  Sockets/versão: Primate Idol (bonus de companion) · sem Idol: Body Rune (vida)  |  Base rare (não é unique) · qualquer um com +Minion Skills</t>
        </is>
      </c>
    </row>
    <row r="188" ht="94" customHeight="1">
      <c r="A188" s="19" t="inlineStr"/>
      <c r="B188" s="54" t="inlineStr">
        <is>
          <t>The Vertex</t>
        </is>
      </c>
      <c r="C188" s="19" t="inlineStr">
        <is>
          <t>Capacete</t>
        </is>
      </c>
      <c r="D188" s="19" t="inlineStr">
        <is>
          <t>Sim</t>
        </is>
      </c>
      <c r="E188" s="19" t="inlineStr">
        <is>
          <t>Has no Attribute Requirements ; (100-150)% increased Evasion and Energy Shield ; +(13-17)% to Chaos Resistance ; Equipment has no Attribute Requirements ; Skill Gems have no Attribute Requirements ; (+1 mod de ataque/utilidade que não importa para o zoo)  |  Sockets/versão: Runa de resistência que faltar (Desert = fogo · Glacial = frio · Storm = raio) · resist no cap: Body Rune (vida)</t>
        </is>
      </c>
    </row>
    <row r="189" ht="40" customHeight="1">
      <c r="A189" s="19" t="inlineStr"/>
      <c r="B189" s="18" t="inlineStr">
        <is>
          <t>Runeforged Layered Vest</t>
        </is>
      </c>
      <c r="C189" s="19" t="inlineStr">
        <is>
          <t>Body Armour</t>
        </is>
      </c>
      <c r="D189" s="19" t="inlineStr"/>
      <c r="E189" s="19" t="inlineStr">
        <is>
          <t>Runic Ward ; +Evasion ; +Life  |  Sockets/versão: Runa ancestral (Runeforged), Greater Rune of Leadership</t>
        </is>
      </c>
    </row>
    <row r="190" ht="49" customHeight="1">
      <c r="A190" s="19" t="inlineStr"/>
      <c r="B190" s="54" t="inlineStr">
        <is>
          <t>Treefingers</t>
        </is>
      </c>
      <c r="C190" s="19" t="inlineStr">
        <is>
          <t>Luvas</t>
        </is>
      </c>
      <c r="D190" s="19" t="inlineStr">
        <is>
          <t>Sim</t>
        </is>
      </c>
      <c r="E190" s="19" t="inlineStr">
        <is>
          <t>+(15-20) to Strength ; Giant's Blood ; (+4 mods de ataque/utilidade que não importam para o zoo)  |  Sockets/versão: Runa de resistência que faltar (Desert = fogo · Glacial = frio · Storm = raio) · resist no cap: Body Rune (vida)</t>
        </is>
      </c>
    </row>
    <row r="191" ht="40" customHeight="1">
      <c r="A191" s="19" t="inlineStr"/>
      <c r="B191" s="18" t="inlineStr">
        <is>
          <t>Runeforged Wanderer Shoes</t>
        </is>
      </c>
      <c r="C191" s="19" t="inlineStr">
        <is>
          <t>Botas</t>
        </is>
      </c>
      <c r="D191" s="19" t="inlineStr"/>
      <c r="E191" s="19" t="inlineStr">
        <is>
          <t>Movement Speed ; Runic Ward ; +Life ; +Resistências ; +Evasion  |  Sockets/versão: Greater Desert Rune (res. fogo)</t>
        </is>
      </c>
    </row>
    <row r="192" ht="40" customHeight="1">
      <c r="A192" s="19" t="inlineStr"/>
      <c r="B192" s="18" t="inlineStr">
        <is>
          <t>Amuleto rare</t>
        </is>
      </c>
      <c r="C192" s="19" t="inlineStr">
        <is>
          <t>Amuleto</t>
        </is>
      </c>
      <c r="D192" s="19" t="inlineStr"/>
      <c r="E192" s="19" t="inlineStr">
        <is>
          <t>+3 to Level of all Minion Skills ; +Spirit ; +Life ; +Resistências</t>
        </is>
      </c>
    </row>
    <row r="193" ht="49" customHeight="1">
      <c r="A193" s="19" t="inlineStr"/>
      <c r="B193" s="54" t="inlineStr">
        <is>
          <t>Evergrasping Ring</t>
        </is>
      </c>
      <c r="C193" s="19" t="inlineStr">
        <is>
          <t>Anel E</t>
        </is>
      </c>
      <c r="D193" s="19" t="inlineStr">
        <is>
          <t>Sim</t>
        </is>
      </c>
      <c r="E193" s="19" t="inlineStr">
        <is>
          <t>+(60-100) to maximum Mana ; Allies in your Presence Gain (15-25)% of Damage as Extra Chaos Damage ; Enemies in your Presence Gain (6-12)% of Damage as Extra Chaos Damage</t>
        </is>
      </c>
    </row>
    <row r="194" ht="49" customHeight="1">
      <c r="A194" s="19" t="inlineStr"/>
      <c r="B194" s="54" t="inlineStr">
        <is>
          <t>Evergrasping Ring</t>
        </is>
      </c>
      <c r="C194" s="19" t="inlineStr">
        <is>
          <t>Anel D</t>
        </is>
      </c>
      <c r="D194" s="19" t="inlineStr">
        <is>
          <t>Sim</t>
        </is>
      </c>
      <c r="E194" s="19" t="inlineStr">
        <is>
          <t>+(60-100) to maximum Mana ; Allies in your Presence Gain (15-25)% of Damage as Extra Chaos Damage ; Enemies in your Presence Gain (6-12)% of Damage as Extra Chaos Damage</t>
        </is>
      </c>
    </row>
    <row r="195" ht="40" customHeight="1">
      <c r="A195" s="19" t="inlineStr"/>
      <c r="B195" s="18" t="inlineStr">
        <is>
          <t>Heavy Belt rare</t>
        </is>
      </c>
      <c r="C195" s="19" t="inlineStr">
        <is>
          <t>Cinto</t>
        </is>
      </c>
      <c r="D195" s="19" t="inlineStr"/>
      <c r="E195" s="19" t="inlineStr">
        <is>
          <t>+Life ; +Resistências ; +Evasion</t>
        </is>
      </c>
    </row>
    <row r="196" ht="49" customHeight="1">
      <c r="A196" s="19" t="inlineStr"/>
      <c r="B196" s="54" t="inlineStr">
        <is>
          <t>Beira's Anguish</t>
        </is>
      </c>
      <c r="C196" s="19" t="inlineStr">
        <is>
          <t>Charm</t>
        </is>
      </c>
      <c r="D196" s="19" t="inlineStr">
        <is>
          <t>Sim</t>
        </is>
      </c>
      <c r="E196" s="19" t="inlineStr">
        <is>
          <t>(20-25)% Chance to gain a Charge when you kill an enemy ; Creates Ignited Ground for 4 seconds when used, Igniting enemies as though dealing Fire damage equal to 500% of your maximum Life</t>
        </is>
      </c>
    </row>
    <row r="197" ht="40" customHeight="1">
      <c r="A197" s="19" t="inlineStr"/>
      <c r="B197" s="54" t="inlineStr">
        <is>
          <t>Sanguis Heroum</t>
        </is>
      </c>
      <c r="C197" s="19" t="inlineStr">
        <is>
          <t>Charm</t>
        </is>
      </c>
      <c r="D197" s="19" t="inlineStr">
        <is>
          <t>Sim</t>
        </is>
      </c>
      <c r="E197" s="19" t="inlineStr">
        <is>
          <t>Gains (0.15-0.2) Charges per Second ; Creates Consecrated Ground on use</t>
        </is>
      </c>
    </row>
    <row r="199" ht="22" customHeight="1">
      <c r="A199" s="13" t="inlineStr">
        <is>
          <t>T15+ (EFFIGY) · 98 pontos principais  ·  árvore própria (zoos top, sem ataque)</t>
        </is>
      </c>
      <c r="B199" s="14" t="n"/>
      <c r="C199" s="14" t="n"/>
      <c r="D199" s="14" t="n"/>
      <c r="E199" s="14" t="n"/>
    </row>
    <row r="200" ht="22" customHeight="1">
      <c r="A200" s="15" t="inlineStr"/>
      <c r="B200" s="15" t="inlineStr">
        <is>
          <t>Notable</t>
        </is>
      </c>
      <c r="C200" s="15" t="inlineStr">
        <is>
          <t>Árvore</t>
        </is>
      </c>
      <c r="D200" s="15" t="inlineStr">
        <is>
          <t>Novo?</t>
        </is>
      </c>
      <c r="E200" s="15" t="inlineStr">
        <is>
          <t>Efeito</t>
        </is>
      </c>
    </row>
    <row r="201" ht="32" customHeight="1">
      <c r="A201" s="19" t="inlineStr"/>
      <c r="B201" s="18" t="inlineStr">
        <is>
          <t>Blur</t>
        </is>
      </c>
      <c r="C201" s="19" t="inlineStr">
        <is>
          <t>Principal</t>
        </is>
      </c>
      <c r="D201" s="19" t="inlineStr"/>
      <c r="E201" s="19" t="inlineStr">
        <is>
          <t>4% increased Movement Speed · 20% increased Evasion Rating · +10 to Dexterity</t>
        </is>
      </c>
    </row>
    <row r="202" ht="32" customHeight="1">
      <c r="A202" s="19" t="inlineStr"/>
      <c r="B202" s="58" t="inlineStr">
        <is>
          <t>Polymathy</t>
        </is>
      </c>
      <c r="C202" s="19" t="inlineStr">
        <is>
          <t>Principal</t>
        </is>
      </c>
      <c r="D202" s="19" t="inlineStr">
        <is>
          <t>NOVO</t>
        </is>
      </c>
      <c r="E202" s="19" t="inlineStr">
        <is>
          <t>7% increased Attributes</t>
        </is>
      </c>
    </row>
    <row r="203" ht="32" customHeight="1">
      <c r="A203" s="19" t="inlineStr"/>
      <c r="B203" s="58" t="inlineStr">
        <is>
          <t>Giant's Blood</t>
        </is>
      </c>
      <c r="C203" s="19" t="inlineStr">
        <is>
          <t>Principal</t>
        </is>
      </c>
      <c r="D203" s="19" t="inlineStr">
        <is>
          <t>NOVO</t>
        </is>
      </c>
      <c r="E203" s="19" t="inlineStr">
        <is>
          <t>You can wield Two-Handed Axes, Maces and Swords in one hand · Triple Attribute requirements of Martial Weapons · Inherent Life granted by Strength is halved</t>
        </is>
      </c>
    </row>
    <row r="204" ht="32" customHeight="1">
      <c r="A204" s="19" t="inlineStr"/>
      <c r="B204" s="18" t="inlineStr">
        <is>
          <t>Sturdy Ally</t>
        </is>
      </c>
      <c r="C204" s="19" t="inlineStr">
        <is>
          <t>Principal</t>
        </is>
      </c>
      <c r="D204" s="19" t="inlineStr"/>
      <c r="E204" s="19" t="inlineStr">
        <is>
          <t>Companions gain your Strength · +15 to Strength</t>
        </is>
      </c>
    </row>
    <row r="205" ht="32" customHeight="1">
      <c r="A205" s="19" t="inlineStr"/>
      <c r="B205" s="18" t="inlineStr">
        <is>
          <t>Captivating Companionship</t>
        </is>
      </c>
      <c r="C205" s="19" t="inlineStr">
        <is>
          <t>Principal</t>
        </is>
      </c>
      <c r="D205" s="19" t="inlineStr"/>
      <c r="E205" s="19" t="inlineStr">
        <is>
          <t>5% of Damage from Hits is taken from your Damageable Companion's Life before you · 20% increased Armour, Evasion and Energy Shield while your Companion is in your Presence</t>
        </is>
      </c>
    </row>
    <row r="206" ht="32" customHeight="1">
      <c r="A206" s="19" t="inlineStr"/>
      <c r="B206" s="18" t="inlineStr">
        <is>
          <t>Bond of the Wolf</t>
        </is>
      </c>
      <c r="C206" s="19" t="inlineStr">
        <is>
          <t>Principal</t>
        </is>
      </c>
      <c r="D206" s="19" t="inlineStr"/>
      <c r="E206" s="19" t="inlineStr">
        <is>
          <t>6% increased Attack Speed · Companions have 50% chance to gain Onslaught on Kill</t>
        </is>
      </c>
    </row>
    <row r="207" ht="32" customHeight="1">
      <c r="A207" s="19" t="inlineStr"/>
      <c r="B207" s="18" t="inlineStr">
        <is>
          <t>Sic 'Em</t>
        </is>
      </c>
      <c r="C207" s="19" t="inlineStr">
        <is>
          <t>Principal</t>
        </is>
      </c>
      <c r="D207" s="19" t="inlineStr"/>
      <c r="E207" s="19" t="inlineStr">
        <is>
          <t>Companions deal 60% increased damage against Immobilised enemies</t>
        </is>
      </c>
    </row>
    <row r="208" ht="32" customHeight="1">
      <c r="A208" s="19" t="inlineStr"/>
      <c r="B208" s="18" t="inlineStr">
        <is>
          <t>Bond of the Owl</t>
        </is>
      </c>
      <c r="C208" s="19" t="inlineStr">
        <is>
          <t>Principal</t>
        </is>
      </c>
      <c r="D208" s="19" t="inlineStr"/>
      <c r="E208" s="19" t="inlineStr">
        <is>
          <t>Gain 6% of Damage as Extra Cold Damage · Companions gain 12% Damage as extra Cold Damage</t>
        </is>
      </c>
    </row>
    <row r="209" ht="32" customHeight="1">
      <c r="A209" s="19" t="inlineStr"/>
      <c r="B209" s="58" t="inlineStr">
        <is>
          <t>Enduring Deflection</t>
        </is>
      </c>
      <c r="C209" s="19" t="inlineStr">
        <is>
          <t>Principal</t>
        </is>
      </c>
      <c r="D209" s="19" t="inlineStr">
        <is>
          <t>NOVO</t>
        </is>
      </c>
      <c r="E209" s="19" t="inlineStr">
        <is>
          <t>20% increased Evasion Rating · Prevent +3% of Damage from Deflected Hits</t>
        </is>
      </c>
    </row>
    <row r="210" ht="32" customHeight="1">
      <c r="A210" s="19" t="inlineStr"/>
      <c r="B210" s="58" t="inlineStr">
        <is>
          <t>Avoiding Deflection</t>
        </is>
      </c>
      <c r="C210" s="19" t="inlineStr">
        <is>
          <t>Principal</t>
        </is>
      </c>
      <c r="D210" s="19" t="inlineStr">
        <is>
          <t>NOVO</t>
        </is>
      </c>
      <c r="E210" s="19" t="inlineStr">
        <is>
          <t>-5% to amount of Damage Prevented by Deflection · 20% increased Deflection Rating</t>
        </is>
      </c>
    </row>
    <row r="211" ht="32" customHeight="1">
      <c r="A211" s="19" t="inlineStr"/>
      <c r="B211" s="18" t="inlineStr">
        <is>
          <t>Bond of the Mamba</t>
        </is>
      </c>
      <c r="C211" s="19" t="inlineStr">
        <is>
          <t>Principal</t>
        </is>
      </c>
      <c r="D211" s="19" t="inlineStr"/>
      <c r="E211" s="19" t="inlineStr">
        <is>
          <t>Gain 4% of Physical Damage as extra Chaos Damage · Companions gain 12% Damage as extra Chaos Damage</t>
        </is>
      </c>
    </row>
    <row r="212" ht="32" customHeight="1">
      <c r="A212" s="19" t="inlineStr"/>
      <c r="B212" s="18" t="inlineStr">
        <is>
          <t>Trusted Kinship</t>
        </is>
      </c>
      <c r="C212" s="19" t="inlineStr">
        <is>
          <t>Principal</t>
        </is>
      </c>
      <c r="D212" s="19" t="inlineStr"/>
      <c r="E212" s="19" t="inlineStr">
        <is>
          <t>You can have two Companions of different types · 30% more Reservation Efficiency of Companion Skills · 20% less Reservation Efficiency of non-Companion Skills</t>
        </is>
      </c>
    </row>
    <row r="213" ht="32" customHeight="1">
      <c r="A213" s="19" t="inlineStr"/>
      <c r="B213" s="18" t="inlineStr">
        <is>
          <t>Enhanced Reflexes</t>
        </is>
      </c>
      <c r="C213" s="19" t="inlineStr">
        <is>
          <t>Principal</t>
        </is>
      </c>
      <c r="D213" s="19" t="inlineStr"/>
      <c r="E213" s="19" t="inlineStr">
        <is>
          <t>20% increased Evasion Rating · Gain Deflection Rating equal to 5% of Evasion Rating · 8% increased Dexterity</t>
        </is>
      </c>
    </row>
    <row r="214" ht="32" customHeight="1">
      <c r="A214" s="19" t="inlineStr"/>
      <c r="B214" s="18" t="inlineStr">
        <is>
          <t>Inspiring Ally (só passagem)</t>
        </is>
      </c>
      <c r="C214" s="19" t="inlineStr">
        <is>
          <t>Principal</t>
        </is>
      </c>
      <c r="D214" s="19" t="inlineStr"/>
      <c r="E214" s="19" t="inlineStr">
        <is>
          <t>Increases and Reductions to Companion Damage also apply to you</t>
        </is>
      </c>
    </row>
    <row r="215" ht="32" customHeight="1">
      <c r="A215" s="19" t="inlineStr"/>
      <c r="B215" s="18" t="inlineStr">
        <is>
          <t>Easy Going</t>
        </is>
      </c>
      <c r="C215" s="19" t="inlineStr">
        <is>
          <t>Principal</t>
        </is>
      </c>
      <c r="D215" s="19" t="inlineStr"/>
      <c r="E215" s="19" t="inlineStr">
        <is>
          <t>25% increased Reservation Efficiency of Companion Skills</t>
        </is>
      </c>
    </row>
    <row r="216" ht="32" customHeight="1">
      <c r="A216" s="19" t="inlineStr"/>
      <c r="B216" s="58" t="inlineStr">
        <is>
          <t>The Winter Owl</t>
        </is>
      </c>
      <c r="C216" s="19" t="inlineStr">
        <is>
          <t>Principal</t>
        </is>
      </c>
      <c r="D216" s="19" t="inlineStr">
        <is>
          <t>NOVO</t>
        </is>
      </c>
      <c r="E216" s="19" t="inlineStr">
        <is>
          <t>3% increased Evasion Rating per 10 Intelligence · Gain Accuracy Rating equal to your Intelligence · +10 to Intelligence</t>
        </is>
      </c>
    </row>
    <row r="217" ht="32" customHeight="1">
      <c r="A217" s="19" t="inlineStr"/>
      <c r="B217" s="58" t="inlineStr">
        <is>
          <t>Long Distance Relationship</t>
        </is>
      </c>
      <c r="C217" s="19" t="inlineStr">
        <is>
          <t>Principal</t>
        </is>
      </c>
      <c r="D217" s="19" t="inlineStr">
        <is>
          <t>NOVO</t>
        </is>
      </c>
      <c r="E217" s="19" t="inlineStr">
        <is>
          <t>30% increased Presence Area of Effect · Minions have 15% increased Area of Effect</t>
        </is>
      </c>
    </row>
    <row r="218" ht="32" customHeight="1">
      <c r="A218" s="19" t="inlineStr"/>
      <c r="B218" s="18" t="inlineStr">
        <is>
          <t>Unspoken Bond</t>
        </is>
      </c>
      <c r="C218" s="19" t="inlineStr">
        <is>
          <t>Principal</t>
        </is>
      </c>
      <c r="D218" s="19" t="inlineStr"/>
      <c r="E218" s="19" t="inlineStr">
        <is>
          <t>Companions have +30% to Chaos Resistance · Companions have +30% to all Elemental Resistances</t>
        </is>
      </c>
    </row>
    <row r="219" ht="22" customHeight="1">
      <c r="A219" s="30" t="inlineStr"/>
      <c r="B219" s="30" t="inlineStr">
        <is>
          <t>Set principal — BARATO</t>
        </is>
      </c>
      <c r="C219" s="30" t="inlineStr">
        <is>
          <t>Slot</t>
        </is>
      </c>
      <c r="D219" s="30" t="inlineStr">
        <is>
          <t>Único</t>
        </is>
      </c>
      <c r="E219" s="30" t="inlineStr">
        <is>
          <t>Mods que importam / sockets / nota</t>
        </is>
      </c>
    </row>
    <row r="220" ht="79" customHeight="1">
      <c r="A220" s="19" t="inlineStr"/>
      <c r="B220" s="54" t="inlineStr">
        <is>
          <t>Chober Chaber</t>
        </is>
      </c>
      <c r="C220" s="19" t="inlineStr">
        <is>
          <t>Arma (Set 1)</t>
        </is>
      </c>
      <c r="D220" s="19" t="inlineStr">
        <is>
          <t>Sim</t>
        </is>
      </c>
      <c r="E220" s="19" t="inlineStr">
        <is>
          <t>Adds (58-65) to (102-110) Physical Damage ; +(80-100) to maximum Mana ; +50 to Spirit ; +2 to Level of all Minion Skills ; Increases and Reductions to Minion Damage also affect you ; (+1 mod de ataque/utilidade que não importa para o zoo)  |  Sockets/versão: Runeforged, Soul Core de Dexterity (atributos), Soul Core de Dexterity (atributos)</t>
        </is>
      </c>
    </row>
    <row r="221" ht="64" customHeight="1">
      <c r="A221" s="19" t="inlineStr"/>
      <c r="B221" s="54" t="inlineStr">
        <is>
          <t>Sylvan's Effigy</t>
        </is>
      </c>
      <c r="C221" s="19" t="inlineStr">
        <is>
          <t>Offhand (Set 1)</t>
        </is>
      </c>
      <c r="D221" s="19" t="inlineStr">
        <is>
          <t>Sim</t>
        </is>
      </c>
      <c r="E221" s="19" t="inlineStr">
        <is>
          <t>(50-68)% increased Spirit ; Allies in your Presence Regenerate (51.4-99.1) Life per second ; +(6-12) to all Attributes ; Companions deal (50-98)% increased damage to your Marked targets ; You can have any number of Companions of different types  |  Sockets/versão: Primate Idol, Rabbit Idol</t>
        </is>
      </c>
    </row>
    <row r="222" ht="64" customHeight="1">
      <c r="A222" s="19" t="inlineStr"/>
      <c r="B222" s="54" t="inlineStr">
        <is>
          <t>Spiteful Floret</t>
        </is>
      </c>
      <c r="C222" s="19" t="inlineStr">
        <is>
          <t>Arma (Set 2)</t>
        </is>
      </c>
      <c r="D222" s="19" t="inlineStr">
        <is>
          <t>Sim</t>
        </is>
      </c>
      <c r="E222" s="19" t="inlineStr">
        <is>
          <t>(60-90)% increased Physical Damage ; +(7-14) to Strength ; (+3 mods de ataque/utilidade que não importam para o zoo)  |  Sockets/versão: Runa de resistência que faltar (Desert = fogo · Glacial = frio · Storm = raio)  |  só pela Sanguine Revelry</t>
        </is>
      </c>
    </row>
    <row r="223" ht="49" customHeight="1">
      <c r="A223" s="19" t="inlineStr"/>
      <c r="B223" s="18" t="inlineStr">
        <is>
          <t>Desert Cap rare</t>
        </is>
      </c>
      <c r="C223" s="19" t="inlineStr">
        <is>
          <t>Capacete</t>
        </is>
      </c>
      <c r="D223" s="19" t="inlineStr"/>
      <c r="E223" s="19" t="inlineStr">
        <is>
          <t>+Minion Skills ; +Life ; +Resistências ; +Evasion  |  Sockets/versão: Runa de resistência que faltar (Desert = fogo · Glacial = frio · Storm = raio) · resist no cap: Body Rune (vida)</t>
        </is>
      </c>
    </row>
    <row r="224" ht="79" customHeight="1">
      <c r="A224" s="19" t="inlineStr"/>
      <c r="B224" s="54" t="inlineStr">
        <is>
          <t>Forgotten Warden</t>
        </is>
      </c>
      <c r="C224" s="19" t="inlineStr">
        <is>
          <t>Body Armour</t>
        </is>
      </c>
      <c r="D224" s="19" t="inlineStr">
        <is>
          <t>Sim</t>
        </is>
      </c>
      <c r="E224" s="19" t="inlineStr">
        <is>
          <t>+(70-100) to Deflection Rating per 50 missing Energy Shield ; (200-271)% increased Evasion and Energy Shield ; Companions have (30-50)% increased maximum Life ; (10-15)% of Damage from Deflected Hits is taken from Damageable Companion's Life before you ; (+1 mod de ataque/utilidade que não importa para o zoo)  |  Sockets/versão: Fox Idol, Spirit Vessel: Furious Slam + Arctic Howl</t>
        </is>
      </c>
    </row>
    <row r="225" ht="40" customHeight="1">
      <c r="A225" s="19" t="inlineStr"/>
      <c r="B225" s="18" t="inlineStr">
        <is>
          <t>Runeforged Gold Gloves</t>
        </is>
      </c>
      <c r="C225" s="19" t="inlineStr">
        <is>
          <t>Luvas</t>
        </is>
      </c>
      <c r="D225" s="19" t="inlineStr"/>
      <c r="E225" s="19" t="inlineStr">
        <is>
          <t>Runic Ward ; +Life ; +Resistências ; +Evasion  |  Sockets/versão: Greater Glacial Rune (res. frio)</t>
        </is>
      </c>
    </row>
    <row r="226" ht="40" customHeight="1">
      <c r="A226" s="19" t="inlineStr"/>
      <c r="B226" s="18" t="inlineStr">
        <is>
          <t>Runeforged Wanderer Shoes</t>
        </is>
      </c>
      <c r="C226" s="19" t="inlineStr">
        <is>
          <t>Botas</t>
        </is>
      </c>
      <c r="D226" s="19" t="inlineStr"/>
      <c r="E226" s="19" t="inlineStr">
        <is>
          <t>Movement Speed ; Runic Ward ; +Life ; +Resistências ; +Evasion  |  Sockets/versão: Greater Desert Rune (res. fogo)</t>
        </is>
      </c>
    </row>
    <row r="227" ht="40" customHeight="1">
      <c r="A227" s="19" t="inlineStr"/>
      <c r="B227" s="18" t="inlineStr">
        <is>
          <t>Amuleto rare</t>
        </is>
      </c>
      <c r="C227" s="19" t="inlineStr">
        <is>
          <t>Amuleto</t>
        </is>
      </c>
      <c r="D227" s="19" t="inlineStr"/>
      <c r="E227" s="19" t="inlineStr">
        <is>
          <t>+3 to Level of all Minion Skills ; +Spirit ; +Life ; +Resistências</t>
        </is>
      </c>
    </row>
    <row r="228" ht="40" customHeight="1">
      <c r="A228" s="19" t="inlineStr"/>
      <c r="B228" s="18" t="inlineStr">
        <is>
          <t>Anel rare</t>
        </is>
      </c>
      <c r="C228" s="19" t="inlineStr">
        <is>
          <t>Anel E</t>
        </is>
      </c>
      <c r="D228" s="19" t="inlineStr"/>
      <c r="E228" s="19" t="inlineStr">
        <is>
          <t>+Life ; +Resistências ; +Evasion</t>
        </is>
      </c>
    </row>
    <row r="229" ht="40" customHeight="1">
      <c r="A229" s="19" t="inlineStr"/>
      <c r="B229" s="18" t="inlineStr">
        <is>
          <t>Anel rare</t>
        </is>
      </c>
      <c r="C229" s="19" t="inlineStr">
        <is>
          <t>Anel D</t>
        </is>
      </c>
      <c r="D229" s="19" t="inlineStr"/>
      <c r="E229" s="19" t="inlineStr">
        <is>
          <t>+Life ; +Resistências ; +Evasion</t>
        </is>
      </c>
    </row>
    <row r="230" ht="40" customHeight="1">
      <c r="A230" s="19" t="inlineStr"/>
      <c r="B230" s="18" t="inlineStr">
        <is>
          <t>Wide Belt rare</t>
        </is>
      </c>
      <c r="C230" s="19" t="inlineStr">
        <is>
          <t>Cinto</t>
        </is>
      </c>
      <c r="D230" s="19" t="inlineStr"/>
      <c r="E230" s="19" t="inlineStr">
        <is>
          <t>+Life ; +Resistências ; +Evasion</t>
        </is>
      </c>
    </row>
    <row r="231" ht="40" customHeight="1">
      <c r="A231" s="19" t="inlineStr"/>
      <c r="B231" s="54" t="inlineStr">
        <is>
          <t>Lavianga's Spirits</t>
        </is>
      </c>
      <c r="C231" s="19" t="inlineStr">
        <is>
          <t>Flask mana</t>
        </is>
      </c>
      <c r="D231" s="19" t="inlineStr">
        <is>
          <t>Sim</t>
        </is>
      </c>
      <c r="E231" s="19" t="inlineStr">
        <is>
          <t>This Flask cannot be Used but applies its Effect constantly ; (70-80)% reduced Amount Recovered</t>
        </is>
      </c>
    </row>
    <row r="232" ht="22" customHeight="1">
      <c r="A232" s="30" t="inlineStr"/>
      <c r="B232" s="30" t="inlineStr">
        <is>
          <t>Set principal — COMPLETO</t>
        </is>
      </c>
      <c r="C232" s="30" t="inlineStr">
        <is>
          <t>Slot</t>
        </is>
      </c>
      <c r="D232" s="30" t="inlineStr">
        <is>
          <t>Único</t>
        </is>
      </c>
      <c r="E232" s="30" t="inlineStr">
        <is>
          <t>Mods que importam / sockets / nota</t>
        </is>
      </c>
    </row>
    <row r="233" ht="79" customHeight="1">
      <c r="A233" s="19" t="inlineStr"/>
      <c r="B233" s="54" t="inlineStr">
        <is>
          <t>Chober Chaber</t>
        </is>
      </c>
      <c r="C233" s="19" t="inlineStr">
        <is>
          <t>Arma (Set 1)</t>
        </is>
      </c>
      <c r="D233" s="19" t="inlineStr">
        <is>
          <t>Sim</t>
        </is>
      </c>
      <c r="E233" s="19" t="inlineStr">
        <is>
          <t>Adds (58-65) to (102-110) Physical Damage ; +(80-100) to maximum Mana ; +50 to Spirit ; +2 to Level of all Minion Skills ; Increases and Reductions to Minion Damage also affect you ; (+1 mod de ataque/utilidade que não importa para o zoo)  |  Sockets/versão: Runeforged, Soul Core de Dexterity (atributos), Soul Core de Dexterity (atributos)</t>
        </is>
      </c>
    </row>
    <row r="234" ht="64" customHeight="1">
      <c r="A234" s="19" t="inlineStr"/>
      <c r="B234" s="54" t="inlineStr">
        <is>
          <t>Sylvan's Effigy</t>
        </is>
      </c>
      <c r="C234" s="19" t="inlineStr">
        <is>
          <t>Offhand (Set 1)</t>
        </is>
      </c>
      <c r="D234" s="19" t="inlineStr">
        <is>
          <t>Sim</t>
        </is>
      </c>
      <c r="E234" s="19" t="inlineStr">
        <is>
          <t>(50-68)% increased Spirit ; Allies in your Presence Regenerate (51.4-99.1) Life per second ; +(6-12) to all Attributes ; Companions deal (50-98)% increased damage to your Marked targets ; You can have any number of Companions of different types  |  Sockets/versão: Primate Idol, Rabbit Idol</t>
        </is>
      </c>
    </row>
    <row r="235" ht="49" customHeight="1">
      <c r="A235" s="19" t="inlineStr"/>
      <c r="B235" s="54" t="inlineStr">
        <is>
          <t>Spiteful Floret</t>
        </is>
      </c>
      <c r="C235" s="19" t="inlineStr">
        <is>
          <t>Arma (Set 2)</t>
        </is>
      </c>
      <c r="D235" s="19" t="inlineStr">
        <is>
          <t>Sim</t>
        </is>
      </c>
      <c r="E235" s="19" t="inlineStr">
        <is>
          <t>(60-90)% increased Physical Damage ; +(7-14) to Strength ; (+3 mods de ataque/utilidade que não importam para o zoo)  |  Sockets/versão: Runa de resistência que faltar (Desert = fogo · Glacial = frio · Storm = raio)</t>
        </is>
      </c>
    </row>
    <row r="236" ht="40" customHeight="1">
      <c r="A236" s="19" t="inlineStr"/>
      <c r="B236" s="18" t="inlineStr">
        <is>
          <t>Runeforged Pariah Mask</t>
        </is>
      </c>
      <c r="C236" s="19" t="inlineStr">
        <is>
          <t>Capacete</t>
        </is>
      </c>
      <c r="D236" s="19" t="inlineStr"/>
      <c r="E236" s="19" t="inlineStr">
        <is>
          <t>+Minion Skills ; Runic Ward ; +Life ; +Resistências ; +Evasion  |  Sockets/versão: Idol especial, Olroth's Legacy</t>
        </is>
      </c>
    </row>
    <row r="237" ht="79" customHeight="1">
      <c r="A237" s="19" t="inlineStr"/>
      <c r="B237" s="54" t="inlineStr">
        <is>
          <t>Forgotten Warden</t>
        </is>
      </c>
      <c r="C237" s="19" t="inlineStr">
        <is>
          <t>Body Armour</t>
        </is>
      </c>
      <c r="D237" s="19" t="inlineStr">
        <is>
          <t>Sim</t>
        </is>
      </c>
      <c r="E237" s="19" t="inlineStr">
        <is>
          <t>+(70-100) to Deflection Rating per 50 missing Energy Shield ; (200-271)% increased Evasion and Energy Shield ; Companions have (30-50)% increased maximum Life ; (10-15)% of Damage from Deflected Hits is taken from Damageable Companion's Life before you ; (+1 mod de ataque/utilidade que não importa para o zoo)  |  Sockets/versão: Fox Idol, Spirit Vessel: Furious Slam + Arctic Howl</t>
        </is>
      </c>
    </row>
    <row r="238" ht="49" customHeight="1">
      <c r="A238" s="19" t="inlineStr"/>
      <c r="B238" s="18" t="inlineStr">
        <is>
          <t>Barbed Bracers rare</t>
        </is>
      </c>
      <c r="C238" s="19" t="inlineStr">
        <is>
          <t>Luvas</t>
        </is>
      </c>
      <c r="D238" s="19" t="inlineStr"/>
      <c r="E238" s="19" t="inlineStr">
        <is>
          <t>+Life ; +Resistências ; +Evasion  |  Sockets/versão: Runa de resistência que faltar (Desert = fogo · Glacial = frio · Storm = raio) · resist no cap: Body Rune (vida)</t>
        </is>
      </c>
    </row>
    <row r="239" ht="49" customHeight="1">
      <c r="A239" s="19" t="inlineStr"/>
      <c r="B239" s="18" t="inlineStr">
        <is>
          <t>Drakeskin Boots rare</t>
        </is>
      </c>
      <c r="C239" s="19" t="inlineStr">
        <is>
          <t>Botas</t>
        </is>
      </c>
      <c r="D239" s="19" t="inlineStr"/>
      <c r="E239" s="19" t="inlineStr">
        <is>
          <t>30% Movement Speed ; +Life ; +Resistências ; +Evasion  |  Sockets/versão: Runa de resistência que faltar (Desert = fogo · Glacial = frio · Storm = raio) · resist no cap: Body Rune (vida)</t>
        </is>
      </c>
    </row>
    <row r="240" ht="40" customHeight="1">
      <c r="A240" s="19" t="inlineStr"/>
      <c r="B240" s="18" t="inlineStr">
        <is>
          <t>Amuleto rare</t>
        </is>
      </c>
      <c r="C240" s="19" t="inlineStr">
        <is>
          <t>Amuleto</t>
        </is>
      </c>
      <c r="D240" s="19" t="inlineStr"/>
      <c r="E240" s="19" t="inlineStr">
        <is>
          <t>+4 to Level of all Minion Skills ; +Spirit ; +Life ; +Resistências</t>
        </is>
      </c>
    </row>
    <row r="241" ht="40" customHeight="1">
      <c r="A241" s="19" t="inlineStr"/>
      <c r="B241" s="18" t="inlineStr">
        <is>
          <t>Anel rare</t>
        </is>
      </c>
      <c r="C241" s="19" t="inlineStr">
        <is>
          <t>Anel E</t>
        </is>
      </c>
      <c r="D241" s="19" t="inlineStr"/>
      <c r="E241" s="19" t="inlineStr">
        <is>
          <t>+Life ; +Resistências ; +Evasion</t>
        </is>
      </c>
    </row>
    <row r="242" ht="40" customHeight="1">
      <c r="A242" s="19" t="inlineStr"/>
      <c r="B242" s="54" t="inlineStr">
        <is>
          <t>Kalandra's Touch</t>
        </is>
      </c>
      <c r="C242" s="19" t="inlineStr">
        <is>
          <t>Anel D</t>
        </is>
      </c>
      <c r="D242" s="19" t="inlineStr">
        <is>
          <t>Sim</t>
        </is>
      </c>
      <c r="E242" s="19" t="inlineStr">
        <is>
          <t>(+1 mod de ataque/utilidade que não importa para o zoo)</t>
        </is>
      </c>
    </row>
    <row r="243" ht="79" customHeight="1">
      <c r="A243" s="19" t="inlineStr"/>
      <c r="B243" s="54" t="inlineStr">
        <is>
          <t>Darkness Enthroned</t>
        </is>
      </c>
      <c r="C243" s="19" t="inlineStr">
        <is>
          <t>Cinto</t>
        </is>
      </c>
      <c r="D243" s="19" t="inlineStr">
        <is>
          <t>Sim</t>
        </is>
      </c>
      <c r="E243" s="19" t="inlineStr">
        <is>
          <t>(50-99)% increased effect of Socketed Augment Items ; This item gains bonuses from Socketed Items as though it was a Helmet ; This item gains bonuses from Socketed Items as though it was a Shield ; This item gains bonuses from Socketed Items as though it was Boots ; This item gains bonuses from Socketed Items as though it was Gloves  |  Sockets/versão: Idols</t>
        </is>
      </c>
    </row>
    <row r="244" ht="40" customHeight="1">
      <c r="A244" s="19" t="inlineStr"/>
      <c r="B244" s="54" t="inlineStr">
        <is>
          <t>Lavianga's Spirits</t>
        </is>
      </c>
      <c r="C244" s="19" t="inlineStr">
        <is>
          <t>Flask mana</t>
        </is>
      </c>
      <c r="D244" s="19" t="inlineStr">
        <is>
          <t>Sim</t>
        </is>
      </c>
      <c r="E244" s="19" t="inlineStr">
        <is>
          <t>This Flask cannot be Used but applies its Effect constantly ; (70-80)% reduced Amount Recovered</t>
        </is>
      </c>
    </row>
    <row r="245" ht="40" customHeight="1">
      <c r="A245" s="19" t="inlineStr"/>
      <c r="B245" s="54" t="inlineStr">
        <is>
          <t>Nascent Hope</t>
        </is>
      </c>
      <c r="C245" s="19" t="inlineStr">
        <is>
          <t>Charm</t>
        </is>
      </c>
      <c r="D245" s="19" t="inlineStr">
        <is>
          <t>Sim</t>
        </is>
      </c>
      <c r="E245" s="19" t="inlineStr">
        <is>
          <t>(20-25)% Chance to gain a Charge when you kill an enemy ; Energy Shield Recharge starts on use</t>
        </is>
      </c>
    </row>
    <row r="246" ht="40" customHeight="1">
      <c r="A246" s="19" t="inlineStr"/>
      <c r="B246" s="54" t="inlineStr">
        <is>
          <t>The Fall of the Axe</t>
        </is>
      </c>
      <c r="C246" s="19" t="inlineStr">
        <is>
          <t>Charm</t>
        </is>
      </c>
      <c r="D246" s="19" t="inlineStr">
        <is>
          <t>Sim</t>
        </is>
      </c>
      <c r="E246" s="19" t="inlineStr">
        <is>
          <t>Grants Onslaught during effect</t>
        </is>
      </c>
    </row>
    <row r="248" ht="22" customHeight="1">
      <c r="A248" s="13" t="inlineStr">
        <is>
          <t>ARBITER / MIN-MAX · 121 pontos principais  ·  árvore própria (zoos top, sem ataque)</t>
        </is>
      </c>
      <c r="B248" s="14" t="n"/>
      <c r="C248" s="14" t="n"/>
      <c r="D248" s="14" t="n"/>
      <c r="E248" s="14" t="n"/>
    </row>
    <row r="249" ht="22" customHeight="1">
      <c r="A249" s="15" t="inlineStr"/>
      <c r="B249" s="15" t="inlineStr">
        <is>
          <t>Notable</t>
        </is>
      </c>
      <c r="C249" s="15" t="inlineStr">
        <is>
          <t>Árvore</t>
        </is>
      </c>
      <c r="D249" s="15" t="inlineStr">
        <is>
          <t>Novo?</t>
        </is>
      </c>
      <c r="E249" s="15" t="inlineStr">
        <is>
          <t>Efeito</t>
        </is>
      </c>
    </row>
    <row r="250" ht="32" customHeight="1">
      <c r="A250" s="19" t="inlineStr"/>
      <c r="B250" s="18" t="inlineStr">
        <is>
          <t>Blur</t>
        </is>
      </c>
      <c r="C250" s="19" t="inlineStr">
        <is>
          <t>Principal</t>
        </is>
      </c>
      <c r="D250" s="19" t="inlineStr"/>
      <c r="E250" s="19" t="inlineStr">
        <is>
          <t>4% increased Movement Speed · 20% increased Evasion Rating · +10 to Dexterity</t>
        </is>
      </c>
    </row>
    <row r="251" ht="32" customHeight="1">
      <c r="A251" s="19" t="inlineStr"/>
      <c r="B251" s="18" t="inlineStr">
        <is>
          <t>Giant's Blood</t>
        </is>
      </c>
      <c r="C251" s="19" t="inlineStr">
        <is>
          <t>Principal</t>
        </is>
      </c>
      <c r="D251" s="19" t="inlineStr"/>
      <c r="E251" s="19" t="inlineStr">
        <is>
          <t>You can wield Two-Handed Axes, Maces and Swords in one hand · Triple Attribute requirements of Martial Weapons · Inherent Life granted by Strength is halved</t>
        </is>
      </c>
    </row>
    <row r="252" ht="32" customHeight="1">
      <c r="A252" s="19" t="inlineStr"/>
      <c r="B252" s="18" t="inlineStr">
        <is>
          <t>Bond of the Wolf</t>
        </is>
      </c>
      <c r="C252" s="19" t="inlineStr">
        <is>
          <t>Principal</t>
        </is>
      </c>
      <c r="D252" s="19" t="inlineStr"/>
      <c r="E252" s="19" t="inlineStr">
        <is>
          <t>6% increased Attack Speed · Companions have 50% chance to gain Onslaught on Kill</t>
        </is>
      </c>
    </row>
    <row r="253" ht="32" customHeight="1">
      <c r="A253" s="19" t="inlineStr"/>
      <c r="B253" s="58" t="inlineStr">
        <is>
          <t>The Wild Cat</t>
        </is>
      </c>
      <c r="C253" s="19" t="inlineStr">
        <is>
          <t>Principal</t>
        </is>
      </c>
      <c r="D253" s="19" t="inlineStr">
        <is>
          <t>NOVO</t>
        </is>
      </c>
      <c r="E253" s="19" t="inlineStr">
        <is>
          <t>Gain Deflection Rating equal to 12% of Evasion Rating · 40% increased Evasion Rating while moving · +10 to Dexterity</t>
        </is>
      </c>
    </row>
    <row r="254" ht="32" customHeight="1">
      <c r="A254" s="19" t="inlineStr"/>
      <c r="B254" s="18" t="inlineStr">
        <is>
          <t>Bond of the Mamba</t>
        </is>
      </c>
      <c r="C254" s="19" t="inlineStr">
        <is>
          <t>Principal</t>
        </is>
      </c>
      <c r="D254" s="19" t="inlineStr"/>
      <c r="E254" s="19" t="inlineStr">
        <is>
          <t>Gain 4% of Physical Damage as extra Chaos Damage · Companions gain 12% Damage as extra Chaos Damage</t>
        </is>
      </c>
    </row>
    <row r="255" ht="32" customHeight="1">
      <c r="A255" s="19" t="inlineStr"/>
      <c r="B255" s="18" t="inlineStr">
        <is>
          <t>Trusted Kinship</t>
        </is>
      </c>
      <c r="C255" s="19" t="inlineStr">
        <is>
          <t>Principal</t>
        </is>
      </c>
      <c r="D255" s="19" t="inlineStr"/>
      <c r="E255" s="19" t="inlineStr">
        <is>
          <t>You can have two Companions of different types · 30% more Reservation Efficiency of Companion Skills · 20% less Reservation Efficiency of non-Companion Skills</t>
        </is>
      </c>
    </row>
    <row r="256" ht="32" customHeight="1">
      <c r="A256" s="19" t="inlineStr"/>
      <c r="B256" s="58" t="inlineStr">
        <is>
          <t>Mind Over Matter</t>
        </is>
      </c>
      <c r="C256" s="19" t="inlineStr">
        <is>
          <t>Principal</t>
        </is>
      </c>
      <c r="D256" s="19" t="inlineStr">
        <is>
          <t>NOVO</t>
        </is>
      </c>
      <c r="E256" s="19" t="inlineStr">
        <is>
          <t>All Damage is taken from Mana before Life · 50% less Mana Recovery Rate</t>
        </is>
      </c>
    </row>
    <row r="257" ht="32" customHeight="1">
      <c r="A257" s="19" t="inlineStr"/>
      <c r="B257" s="58" t="inlineStr">
        <is>
          <t>The Soul Meridian</t>
        </is>
      </c>
      <c r="C257" s="19" t="inlineStr">
        <is>
          <t>Principal</t>
        </is>
      </c>
      <c r="D257" s="19" t="inlineStr">
        <is>
          <t>NOVO</t>
        </is>
      </c>
      <c r="E257" s="19" t="inlineStr">
        <is>
          <t>Gain Deflection Rating equal to 8% of Evasion Rating · 8% faster start of Energy Shield Recharge · 10% increased Mana Cost Efficiency · 10% increased Reservation Efficiency of Minion Skills</t>
        </is>
      </c>
    </row>
    <row r="258" ht="32" customHeight="1">
      <c r="A258" s="19" t="inlineStr"/>
      <c r="B258" s="58" t="inlineStr">
        <is>
          <t>Beastial Skin</t>
        </is>
      </c>
      <c r="C258" s="19" t="inlineStr">
        <is>
          <t>Principal</t>
        </is>
      </c>
      <c r="D258" s="19" t="inlineStr">
        <is>
          <t>NOVO</t>
        </is>
      </c>
      <c r="E258" s="19" t="inlineStr">
        <is>
          <t>100% increased Evasion Rating from Equipped Body Armour</t>
        </is>
      </c>
    </row>
    <row r="259" ht="32" customHeight="1">
      <c r="A259" s="19" t="inlineStr"/>
      <c r="B259" s="18" t="inlineStr">
        <is>
          <t>Enhanced Reflexes</t>
        </is>
      </c>
      <c r="C259" s="19" t="inlineStr">
        <is>
          <t>Principal</t>
        </is>
      </c>
      <c r="D259" s="19" t="inlineStr"/>
      <c r="E259" s="19" t="inlineStr">
        <is>
          <t>20% increased Evasion Rating · Gain Deflection Rating equal to 5% of Evasion Rating · 8% increased Dexterity</t>
        </is>
      </c>
    </row>
    <row r="260" ht="32" customHeight="1">
      <c r="A260" s="19" t="inlineStr"/>
      <c r="B260" s="18" t="inlineStr">
        <is>
          <t>Inspiring Ally (só passagem)</t>
        </is>
      </c>
      <c r="C260" s="19" t="inlineStr">
        <is>
          <t>Principal</t>
        </is>
      </c>
      <c r="D260" s="19" t="inlineStr"/>
      <c r="E260" s="19" t="inlineStr">
        <is>
          <t>Increases and Reductions to Companion Damage also apply to you</t>
        </is>
      </c>
    </row>
    <row r="261" ht="32" customHeight="1">
      <c r="A261" s="19" t="inlineStr"/>
      <c r="B261" s="18" t="inlineStr">
        <is>
          <t>Easy Going</t>
        </is>
      </c>
      <c r="C261" s="19" t="inlineStr">
        <is>
          <t>Principal</t>
        </is>
      </c>
      <c r="D261" s="19" t="inlineStr"/>
      <c r="E261" s="19" t="inlineStr">
        <is>
          <t>25% increased Reservation Efficiency of Companion Skills</t>
        </is>
      </c>
    </row>
    <row r="262" ht="32" customHeight="1">
      <c r="A262" s="19" t="inlineStr"/>
      <c r="B262" s="58" t="inlineStr">
        <is>
          <t>Lifelong Friend</t>
        </is>
      </c>
      <c r="C262" s="19" t="inlineStr">
        <is>
          <t>Principal</t>
        </is>
      </c>
      <c r="D262" s="19" t="inlineStr">
        <is>
          <t>NOVO</t>
        </is>
      </c>
      <c r="E262" s="19" t="inlineStr">
        <is>
          <t>Minions Revive 35% faster if all your Minions are Companions</t>
        </is>
      </c>
    </row>
    <row r="263" ht="32" customHeight="1">
      <c r="A263" s="19" t="inlineStr"/>
      <c r="B263" s="18" t="inlineStr">
        <is>
          <t>The Winter Owl</t>
        </is>
      </c>
      <c r="C263" s="19" t="inlineStr">
        <is>
          <t>Principal</t>
        </is>
      </c>
      <c r="D263" s="19" t="inlineStr"/>
      <c r="E263" s="19" t="inlineStr">
        <is>
          <t>3% increased Evasion Rating per 10 Intelligence · Gain Accuracy Rating equal to your Intelligence · +10 to Intelligence</t>
        </is>
      </c>
    </row>
    <row r="264" ht="22" customHeight="1">
      <c r="A264" s="30" t="inlineStr"/>
      <c r="B264" s="30" t="inlineStr">
        <is>
          <t>Set principal — BARATO</t>
        </is>
      </c>
      <c r="C264" s="30" t="inlineStr">
        <is>
          <t>Slot</t>
        </is>
      </c>
      <c r="D264" s="30" t="inlineStr">
        <is>
          <t>Único</t>
        </is>
      </c>
      <c r="E264" s="30" t="inlineStr">
        <is>
          <t>Mods que importam / sockets / nota</t>
        </is>
      </c>
    </row>
    <row r="265" ht="79" customHeight="1">
      <c r="A265" s="19" t="inlineStr"/>
      <c r="B265" s="54" t="inlineStr">
        <is>
          <t>Chober Chaber</t>
        </is>
      </c>
      <c r="C265" s="19" t="inlineStr">
        <is>
          <t>Arma (Set 1)</t>
        </is>
      </c>
      <c r="D265" s="19" t="inlineStr">
        <is>
          <t>Sim</t>
        </is>
      </c>
      <c r="E265" s="19" t="inlineStr">
        <is>
          <t>Adds (58-65) to (102-110) Physical Damage ; +(80-100) to maximum Mana ; +50 to Spirit ; +2 to Level of all Minion Skills ; Increases and Reductions to Minion Damage also affect you ; (+1 mod de ataque/utilidade que não importa para o zoo)  |  Sockets/versão: Runeforged, Soul Core de Dexterity (atributos), Soul Core de Dexterity (atributos)</t>
        </is>
      </c>
    </row>
    <row r="266" ht="64" customHeight="1">
      <c r="A266" s="19" t="inlineStr"/>
      <c r="B266" s="54" t="inlineStr">
        <is>
          <t>Sylvan's Effigy</t>
        </is>
      </c>
      <c r="C266" s="19" t="inlineStr">
        <is>
          <t>Offhand (Set 1)</t>
        </is>
      </c>
      <c r="D266" s="19" t="inlineStr">
        <is>
          <t>Sim</t>
        </is>
      </c>
      <c r="E266" s="19" t="inlineStr">
        <is>
          <t>(50-68)% increased Spirit ; Allies in your Presence Regenerate (51.4-99.1) Life per second ; +(6-12) to all Attributes ; Companions deal (50-98)% increased damage to your Marked targets ; You can have any number of Companions of different types  |  Sockets/versão: Primate Idol, Rabbit Idol</t>
        </is>
      </c>
    </row>
    <row r="267" ht="49" customHeight="1">
      <c r="A267" s="19" t="inlineStr"/>
      <c r="B267" s="54" t="inlineStr">
        <is>
          <t>Spiteful Floret</t>
        </is>
      </c>
      <c r="C267" s="19" t="inlineStr">
        <is>
          <t>Arma (Set 2)</t>
        </is>
      </c>
      <c r="D267" s="19" t="inlineStr">
        <is>
          <t>Sim</t>
        </is>
      </c>
      <c r="E267" s="19" t="inlineStr">
        <is>
          <t>(60-90)% increased Physical Damage ; +(7-14) to Strength ; (+3 mods de ataque/utilidade que não importam para o zoo)  |  Sockets/versão: Runa de resistência que faltar (Desert = fogo · Glacial = frio · Storm = raio)</t>
        </is>
      </c>
    </row>
    <row r="268" ht="40" customHeight="1">
      <c r="A268" s="19" t="inlineStr"/>
      <c r="B268" s="18" t="inlineStr">
        <is>
          <t>Runeforged Pariah Mask</t>
        </is>
      </c>
      <c r="C268" s="19" t="inlineStr">
        <is>
          <t>Capacete</t>
        </is>
      </c>
      <c r="D268" s="19" t="inlineStr"/>
      <c r="E268" s="19" t="inlineStr">
        <is>
          <t>+Minion Skills ; Runic Ward ; +Life ; +Resistências ; +Evasion  |  Sockets/versão: Idol especial, Olroth's Legacy</t>
        </is>
      </c>
    </row>
    <row r="269" ht="94" customHeight="1">
      <c r="A269" s="19" t="inlineStr"/>
      <c r="B269" s="54" t="inlineStr">
        <is>
          <t>Forgotten Warden</t>
        </is>
      </c>
      <c r="C269" s="19" t="inlineStr">
        <is>
          <t>Body Armour</t>
        </is>
      </c>
      <c r="D269" s="19" t="inlineStr">
        <is>
          <t>Sim</t>
        </is>
      </c>
      <c r="E269" s="19" t="inlineStr">
        <is>
          <t>+(70-100) to Deflection Rating per 50 missing Energy Shield ; (200-271)% increased Evasion and Energy Shield ; Companions have (30-50)% increased maximum Life ; (10-15)% of Damage from Deflected Hits is taken from Damageable Companion's Life before you ; (+1 mod de ataque/utilidade que não importa para o zoo)  |  Sockets/versão: Fox Idol, Spirit Vessel: Devour + Oil Barrage + Salvo + Living Lightning</t>
        </is>
      </c>
    </row>
    <row r="270" ht="49" customHeight="1">
      <c r="A270" s="19" t="inlineStr"/>
      <c r="B270" s="18" t="inlineStr">
        <is>
          <t>Barbed Bracers rare</t>
        </is>
      </c>
      <c r="C270" s="19" t="inlineStr">
        <is>
          <t>Luvas</t>
        </is>
      </c>
      <c r="D270" s="19" t="inlineStr"/>
      <c r="E270" s="19" t="inlineStr">
        <is>
          <t>+Life ; +Resistências ; +Evasion  |  Sockets/versão: Runa de resistência que faltar (Desert = fogo · Glacial = frio · Storm = raio) · resist no cap: Body Rune (vida)</t>
        </is>
      </c>
    </row>
    <row r="271" ht="49" customHeight="1">
      <c r="A271" s="19" t="inlineStr"/>
      <c r="B271" s="18" t="inlineStr">
        <is>
          <t>Drakeskin Boots rare</t>
        </is>
      </c>
      <c r="C271" s="19" t="inlineStr">
        <is>
          <t>Botas</t>
        </is>
      </c>
      <c r="D271" s="19" t="inlineStr"/>
      <c r="E271" s="19" t="inlineStr">
        <is>
          <t>30% Movement Speed ; +Life ; +Resistências ; +Evasion  |  Sockets/versão: Runa de resistência que faltar (Desert = fogo · Glacial = frio · Storm = raio) · resist no cap: Body Rune (vida)</t>
        </is>
      </c>
    </row>
    <row r="272" ht="40" customHeight="1">
      <c r="A272" s="19" t="inlineStr"/>
      <c r="B272" s="18" t="inlineStr">
        <is>
          <t>Amuleto rare</t>
        </is>
      </c>
      <c r="C272" s="19" t="inlineStr">
        <is>
          <t>Amuleto</t>
        </is>
      </c>
      <c r="D272" s="19" t="inlineStr"/>
      <c r="E272" s="19" t="inlineStr">
        <is>
          <t>+4 to Level of all Minion Skills ; +Spirit ; +Life ; +Resistências</t>
        </is>
      </c>
    </row>
    <row r="273" ht="40" customHeight="1">
      <c r="A273" s="19" t="inlineStr"/>
      <c r="B273" s="18" t="inlineStr">
        <is>
          <t>Anel rare</t>
        </is>
      </c>
      <c r="C273" s="19" t="inlineStr">
        <is>
          <t>Anel E</t>
        </is>
      </c>
      <c r="D273" s="19" t="inlineStr"/>
      <c r="E273" s="19" t="inlineStr">
        <is>
          <t>+Life ; +Resistências ; +Evasion</t>
        </is>
      </c>
    </row>
    <row r="274" ht="40" customHeight="1">
      <c r="A274" s="19" t="inlineStr"/>
      <c r="B274" s="18" t="inlineStr">
        <is>
          <t>Anel rare</t>
        </is>
      </c>
      <c r="C274" s="19" t="inlineStr">
        <is>
          <t>Anel D</t>
        </is>
      </c>
      <c r="D274" s="19" t="inlineStr"/>
      <c r="E274" s="19" t="inlineStr">
        <is>
          <t>+Life ; +Resistências ; +Evasion</t>
        </is>
      </c>
    </row>
    <row r="275" ht="40" customHeight="1">
      <c r="A275" s="19" t="inlineStr"/>
      <c r="B275" s="18" t="inlineStr">
        <is>
          <t>Wide Belt rare</t>
        </is>
      </c>
      <c r="C275" s="19" t="inlineStr">
        <is>
          <t>Cinto</t>
        </is>
      </c>
      <c r="D275" s="19" t="inlineStr"/>
      <c r="E275" s="19" t="inlineStr">
        <is>
          <t>+Life ; +Resistências ; +Evasion</t>
        </is>
      </c>
    </row>
    <row r="276" ht="40" customHeight="1">
      <c r="A276" s="19" t="inlineStr"/>
      <c r="B276" s="54" t="inlineStr">
        <is>
          <t>Lavianga's Spirits</t>
        </is>
      </c>
      <c r="C276" s="19" t="inlineStr">
        <is>
          <t>Flask mana</t>
        </is>
      </c>
      <c r="D276" s="19" t="inlineStr">
        <is>
          <t>Sim</t>
        </is>
      </c>
      <c r="E276" s="19" t="inlineStr">
        <is>
          <t>This Flask cannot be Used but applies its Effect constantly ; (70-80)% reduced Amount Recovered</t>
        </is>
      </c>
    </row>
    <row r="277" ht="40" customHeight="1">
      <c r="A277" s="19" t="inlineStr"/>
      <c r="B277" s="54" t="inlineStr">
        <is>
          <t>Nascent Hope</t>
        </is>
      </c>
      <c r="C277" s="19" t="inlineStr">
        <is>
          <t>Charm</t>
        </is>
      </c>
      <c r="D277" s="19" t="inlineStr">
        <is>
          <t>Sim</t>
        </is>
      </c>
      <c r="E277" s="19" t="inlineStr">
        <is>
          <t>(20-25)% Chance to gain a Charge when you kill an enemy ; Energy Shield Recharge starts on use</t>
        </is>
      </c>
    </row>
    <row r="278" ht="40" customHeight="1">
      <c r="A278" s="19" t="inlineStr"/>
      <c r="B278" s="54" t="inlineStr">
        <is>
          <t>The Fall of the Axe</t>
        </is>
      </c>
      <c r="C278" s="19" t="inlineStr">
        <is>
          <t>Charm</t>
        </is>
      </c>
      <c r="D278" s="19" t="inlineStr">
        <is>
          <t>Sim</t>
        </is>
      </c>
      <c r="E278" s="19" t="inlineStr">
        <is>
          <t>Grants Onslaught during effect</t>
        </is>
      </c>
    </row>
    <row r="279" ht="49" customHeight="1">
      <c r="A279" s="19" t="inlineStr"/>
      <c r="B279" s="54" t="inlineStr">
        <is>
          <t>Beira's Anguish</t>
        </is>
      </c>
      <c r="C279" s="19" t="inlineStr">
        <is>
          <t>Charm</t>
        </is>
      </c>
      <c r="D279" s="19" t="inlineStr">
        <is>
          <t>Sim</t>
        </is>
      </c>
      <c r="E279" s="19" t="inlineStr">
        <is>
          <t>(20-25)% Chance to gain a Charge when you kill an enemy ; Creates Ignited Ground for 4 seconds when used, Igniting enemies as though dealing Fire damage equal to 500% of your maximum Life</t>
        </is>
      </c>
    </row>
    <row r="280" ht="22" customHeight="1">
      <c r="A280" s="30" t="inlineStr"/>
      <c r="B280" s="30" t="inlineStr">
        <is>
          <t>Set principal — COMPLETO</t>
        </is>
      </c>
      <c r="C280" s="30" t="inlineStr">
        <is>
          <t>Slot</t>
        </is>
      </c>
      <c r="D280" s="30" t="inlineStr">
        <is>
          <t>Único</t>
        </is>
      </c>
      <c r="E280" s="30" t="inlineStr">
        <is>
          <t>Mods que importam / sockets / nota</t>
        </is>
      </c>
    </row>
    <row r="281" ht="79" customHeight="1">
      <c r="A281" s="19" t="inlineStr"/>
      <c r="B281" s="54" t="inlineStr">
        <is>
          <t>Chober Chaber</t>
        </is>
      </c>
      <c r="C281" s="19" t="inlineStr">
        <is>
          <t>Arma (Set 1)</t>
        </is>
      </c>
      <c r="D281" s="19" t="inlineStr">
        <is>
          <t>Sim</t>
        </is>
      </c>
      <c r="E281" s="19" t="inlineStr">
        <is>
          <t>Adds (58-65) to (102-110) Physical Damage ; +(80-100) to maximum Mana ; +50 to Spirit ; +2 to Level of all Minion Skills ; Increases and Reductions to Minion Damage also affect you ; (+1 mod de ataque/utilidade que não importa para o zoo)  |  Sockets/versão: Runeforged, Soul Core de Dexterity (atributos), Soul Core de Dexterity (atributos)</t>
        </is>
      </c>
    </row>
    <row r="282" ht="64" customHeight="1">
      <c r="A282" s="19" t="inlineStr"/>
      <c r="B282" s="54" t="inlineStr">
        <is>
          <t>Sylvan's Effigy</t>
        </is>
      </c>
      <c r="C282" s="19" t="inlineStr">
        <is>
          <t>Offhand (Set 1)</t>
        </is>
      </c>
      <c r="D282" s="19" t="inlineStr">
        <is>
          <t>Sim</t>
        </is>
      </c>
      <c r="E282" s="19" t="inlineStr">
        <is>
          <t>(50-68)% increased Spirit ; Allies in your Presence Regenerate (51.4-99.1) Life per second ; +(6-12) to all Attributes ; Companions deal (50-98)% increased damage to your Marked targets ; You can have any number of Companions of different types  |  Sockets/versão: Primate Idol, Rabbit Idol</t>
        </is>
      </c>
    </row>
    <row r="283" ht="49" customHeight="1">
      <c r="A283" s="19" t="inlineStr"/>
      <c r="B283" s="54" t="inlineStr">
        <is>
          <t>Spiteful Floret</t>
        </is>
      </c>
      <c r="C283" s="19" t="inlineStr">
        <is>
          <t>Arma (Set 2)</t>
        </is>
      </c>
      <c r="D283" s="19" t="inlineStr">
        <is>
          <t>Sim</t>
        </is>
      </c>
      <c r="E283" s="19" t="inlineStr">
        <is>
          <t>(60-90)% increased Physical Damage ; +(7-14) to Strength ; (+3 mods de ataque/utilidade que não importam para o zoo)  |  Sockets/versão: Runa de resistência que faltar (Desert = fogo · Glacial = frio · Storm = raio)</t>
        </is>
      </c>
    </row>
    <row r="284" ht="40" customHeight="1">
      <c r="A284" s="19" t="inlineStr"/>
      <c r="B284" s="18" t="inlineStr">
        <is>
          <t>Runeforged Pariah Mask</t>
        </is>
      </c>
      <c r="C284" s="19" t="inlineStr">
        <is>
          <t>Capacete</t>
        </is>
      </c>
      <c r="D284" s="19" t="inlineStr"/>
      <c r="E284" s="19" t="inlineStr">
        <is>
          <t>+Minion Skills ; Runic Ward ; +Life ; +Resistências ; +Evasion  |  Sockets/versão: Idol especial, Olroth's Legacy</t>
        </is>
      </c>
    </row>
    <row r="285" ht="94" customHeight="1">
      <c r="A285" s="19" t="inlineStr"/>
      <c r="B285" s="54" t="inlineStr">
        <is>
          <t>Forgotten Warden</t>
        </is>
      </c>
      <c r="C285" s="19" t="inlineStr">
        <is>
          <t>Body Armour</t>
        </is>
      </c>
      <c r="D285" s="19" t="inlineStr">
        <is>
          <t>Sim</t>
        </is>
      </c>
      <c r="E285" s="19" t="inlineStr">
        <is>
          <t>+(70-100) to Deflection Rating per 50 missing Energy Shield ; (200-271)% increased Evasion and Energy Shield ; Companions have (30-50)% increased maximum Life ; (10-15)% of Damage from Deflected Hits is taken from Damageable Companion's Life before you ; (+1 mod de ataque/utilidade que não importa para o zoo)  |  Sockets/versão: Fox Idol, Spirit Vessel: Devour + Oil Barrage + Salvo + Living Lightning</t>
        </is>
      </c>
    </row>
    <row r="286" ht="49" customHeight="1">
      <c r="A286" s="19" t="inlineStr"/>
      <c r="B286" s="18" t="inlineStr">
        <is>
          <t>Barbed Bracers rare</t>
        </is>
      </c>
      <c r="C286" s="19" t="inlineStr">
        <is>
          <t>Luvas</t>
        </is>
      </c>
      <c r="D286" s="19" t="inlineStr"/>
      <c r="E286" s="19" t="inlineStr">
        <is>
          <t>+Life ; +Resistências ; +Evasion  |  Sockets/versão: Runa de resistência que faltar (Desert = fogo · Glacial = frio · Storm = raio) · resist no cap: Body Rune (vida)</t>
        </is>
      </c>
    </row>
    <row r="287" ht="49" customHeight="1">
      <c r="A287" s="19" t="inlineStr"/>
      <c r="B287" s="18" t="inlineStr">
        <is>
          <t>Drakeskin Boots rare</t>
        </is>
      </c>
      <c r="C287" s="19" t="inlineStr">
        <is>
          <t>Botas</t>
        </is>
      </c>
      <c r="D287" s="19" t="inlineStr"/>
      <c r="E287" s="19" t="inlineStr">
        <is>
          <t>30% Movement Speed ; +Life ; +Resistências ; +Evasion  |  Sockets/versão: Runa de resistência que faltar (Desert = fogo · Glacial = frio · Storm = raio) · resist no cap: Body Rune (vida)</t>
        </is>
      </c>
    </row>
    <row r="288" ht="40" customHeight="1">
      <c r="A288" s="19" t="inlineStr"/>
      <c r="B288" s="18" t="inlineStr">
        <is>
          <t>Amuleto rare</t>
        </is>
      </c>
      <c r="C288" s="19" t="inlineStr">
        <is>
          <t>Amuleto</t>
        </is>
      </c>
      <c r="D288" s="19" t="inlineStr"/>
      <c r="E288" s="19" t="inlineStr">
        <is>
          <t>+4 to Level of all Minion Skills ; +Spirit ; +Life ; +Resistências</t>
        </is>
      </c>
    </row>
    <row r="289" ht="40" customHeight="1">
      <c r="A289" s="19" t="inlineStr"/>
      <c r="B289" s="18" t="inlineStr">
        <is>
          <t>Anel rare</t>
        </is>
      </c>
      <c r="C289" s="19" t="inlineStr">
        <is>
          <t>Anel E</t>
        </is>
      </c>
      <c r="D289" s="19" t="inlineStr"/>
      <c r="E289" s="19" t="inlineStr">
        <is>
          <t>+Life ; +Resistências ; +Evasion</t>
        </is>
      </c>
    </row>
    <row r="290" ht="40" customHeight="1">
      <c r="A290" s="19" t="inlineStr"/>
      <c r="B290" s="54" t="inlineStr">
        <is>
          <t>Kalandra's Touch</t>
        </is>
      </c>
      <c r="C290" s="19" t="inlineStr">
        <is>
          <t>Anel D</t>
        </is>
      </c>
      <c r="D290" s="19" t="inlineStr">
        <is>
          <t>Sim</t>
        </is>
      </c>
      <c r="E290" s="19" t="inlineStr">
        <is>
          <t>(+1 mod de ataque/utilidade que não importa para o zoo)</t>
        </is>
      </c>
    </row>
    <row r="291" ht="40" customHeight="1">
      <c r="A291" s="19" t="inlineStr"/>
      <c r="B291" s="54" t="inlineStr">
        <is>
          <t>Mageblood</t>
        </is>
      </c>
      <c r="C291" s="19" t="inlineStr">
        <is>
          <t>Cinto</t>
        </is>
      </c>
      <c r="D291" s="19" t="inlineStr">
        <is>
          <t>Sim</t>
        </is>
      </c>
      <c r="E291" s="19" t="inlineStr">
        <is>
          <t>(+7 mods de ataque/utilidade que não importam para o zoo)</t>
        </is>
      </c>
    </row>
    <row r="292" ht="40" customHeight="1">
      <c r="A292" s="19" t="inlineStr"/>
      <c r="B292" s="54" t="inlineStr">
        <is>
          <t>Lavianga's Spirits</t>
        </is>
      </c>
      <c r="C292" s="19" t="inlineStr">
        <is>
          <t>Flask mana</t>
        </is>
      </c>
      <c r="D292" s="19" t="inlineStr">
        <is>
          <t>Sim</t>
        </is>
      </c>
      <c r="E292" s="19" t="inlineStr">
        <is>
          <t>This Flask cannot be Used but applies its Effect constantly ; (70-80)% reduced Amount Recovered</t>
        </is>
      </c>
    </row>
    <row r="293" ht="40" customHeight="1">
      <c r="A293" s="19" t="inlineStr"/>
      <c r="B293" s="54" t="inlineStr">
        <is>
          <t>The Fall of the Axe</t>
        </is>
      </c>
      <c r="C293" s="19" t="inlineStr">
        <is>
          <t>Charm</t>
        </is>
      </c>
      <c r="D293" s="19" t="inlineStr">
        <is>
          <t>Sim</t>
        </is>
      </c>
      <c r="E293" s="19" t="inlineStr">
        <is>
          <t>Grants Onslaught during effect</t>
        </is>
      </c>
    </row>
    <row r="294" ht="40" customHeight="1">
      <c r="A294" s="19" t="inlineStr"/>
      <c r="B294" s="54" t="inlineStr">
        <is>
          <t>Nascent Hope</t>
        </is>
      </c>
      <c r="C294" s="19" t="inlineStr">
        <is>
          <t>Charm</t>
        </is>
      </c>
      <c r="D294" s="19" t="inlineStr">
        <is>
          <t>Sim</t>
        </is>
      </c>
      <c r="E294" s="19" t="inlineStr">
        <is>
          <t>(20-25)% Chance to gain a Charge when you kill an enemy ; Energy Shield Recharge starts on use</t>
        </is>
      </c>
    </row>
    <row r="295" ht="64" customHeight="1">
      <c r="A295" s="19" t="inlineStr"/>
      <c r="B295" s="54" t="inlineStr">
        <is>
          <t>Rite of Passage</t>
        </is>
      </c>
      <c r="C295" s="19" t="inlineStr">
        <is>
          <t>Charm</t>
        </is>
      </c>
      <c r="D295" s="19" t="inlineStr">
        <is>
          <t>Sim</t>
        </is>
      </c>
      <c r="E295" s="19" t="inlineStr">
        <is>
          <t>Possessed by Spirit Of The Cat for 13 seconds on use ; Possessed by Spirit Of The Stag for 15 seconds on use ; Possessed by Spirit Of The Boar for (10-18) seconds on use ; Possessed by Spirit Of The Serpent for (10-19) seconds on use ; Possessed by Spirit Of The Primate for (10-18) seconds on use</t>
        </is>
      </c>
    </row>
  </sheetData>
  <mergeCells count="10">
    <mergeCell ref="A4:E4"/>
    <mergeCell ref="A73:E73"/>
    <mergeCell ref="A2:E2"/>
    <mergeCell ref="A248:E248"/>
    <mergeCell ref="A199:E199"/>
    <mergeCell ref="A112:E112"/>
    <mergeCell ref="A41:E41"/>
    <mergeCell ref="A152:E152"/>
    <mergeCell ref="A1:E1"/>
    <mergeCell ref="A23:E23"/>
  </mergeCells>
  <pageMargins left="0.75" right="0.75" top="1" bottom="1" header="0.5" footer="0.5"/>
  <drawing xmlns:r="http://schemas.openxmlformats.org/officeDocument/2006/relationships" r:id="rId1"/>
</worksheet>
</file>

<file path=xl/worksheets/sheet17.xml><?xml version="1.0" encoding="utf-8"?>
<worksheet xmlns="http://schemas.openxmlformats.org/spreadsheetml/2006/main">
  <sheetPr>
    <tabColor rgb="008E9AA6"/>
    <outlinePr summaryBelow="1" summaryRight="1"/>
    <pageSetUpPr/>
  </sheetPr>
  <dimension ref="A1:C13"/>
  <sheetViews>
    <sheetView showGridLines="0" zoomScale="100" workbookViewId="0">
      <selection activeCell="A1" sqref="A1"/>
    </sheetView>
  </sheetViews>
  <sheetFormatPr baseColWidth="8" defaultRowHeight="15"/>
  <cols>
    <col width="58" customWidth="1" min="1" max="1"/>
    <col width="44" customWidth="1" min="2" max="2"/>
    <col width="70" customWidth="1" min="3" max="3"/>
  </cols>
  <sheetData>
    <row r="1" ht="34" customHeight="1">
      <c r="A1" s="1" t="inlineStr">
        <is>
          <t>FONTES</t>
        </is>
      </c>
      <c r="B1" s="2" t="n"/>
      <c r="C1" s="2" t="n"/>
    </row>
    <row r="2" ht="30" customHeight="1">
      <c r="A2" s="3" t="inlineStr">
        <is>
          <t>Pesquisadas em 15/09/2026. Preços de mercado mudam — por isso usamos faixas (Barato / Valor / Completo).</t>
        </is>
      </c>
      <c r="B2" s="2" t="n"/>
      <c r="C2" s="2" t="n"/>
    </row>
    <row r="3" ht="22" customHeight="1">
      <c r="A3" s="15" t="inlineStr">
        <is>
          <t>Fonte</t>
        </is>
      </c>
      <c r="B3" s="15" t="inlineStr">
        <is>
          <t>Usado para</t>
        </is>
      </c>
      <c r="C3" s="15" t="inlineStr">
        <is>
          <t>Link</t>
        </is>
      </c>
    </row>
    <row r="4" ht="30" customHeight="1">
      <c r="A4" s="19" t="inlineStr">
        <is>
          <t>Mattjestic — FASTEST 0.5.5 Spirit Walker (26 variantes)</t>
        </is>
      </c>
      <c r="B4" s="19" t="inlineStr">
        <is>
          <t>Rota Chober Chaber: gems, supports, itens e árvore por fase</t>
        </is>
      </c>
      <c r="C4" s="59" t="inlineStr">
        <is>
          <t>https://mobalytics.gg/poe-2/builds/1-button-crossbow-amazon-mattjestic</t>
        </is>
      </c>
    </row>
    <row r="5" ht="30" customHeight="1">
      <c r="A5" s="19" t="inlineStr">
        <is>
          <t>Mattjestic — 0.5 Rare Beast Companions Tier-List</t>
        </is>
      </c>
      <c r="B5" s="19" t="inlineStr">
        <is>
          <t>Aura bots: custo de Spirit e localização</t>
        </is>
      </c>
      <c r="C5" s="59" t="inlineStr">
        <is>
          <t>https://mobalytics.gg/poe-2/profile/mattjestic-multigaming/guides/new-0-4-ultra-rare-beast-companion-farming-guide</t>
        </is>
      </c>
    </row>
    <row r="6" ht="30" customHeight="1">
      <c r="A6" s="19" t="inlineStr">
        <is>
          <t>imortilize — Zoo Companion Huntress League Starter (v1.1.1, 05/09/2026)</t>
        </is>
      </c>
      <c r="B6" s="19" t="inlineStr">
        <is>
          <t>Leveling por ato, gems, quests, ascendência</t>
        </is>
      </c>
      <c r="C6" s="59" t="inlineStr">
        <is>
          <t>https://mobalytics.gg/poe-2/builds/companion-huntress-league-starter</t>
        </is>
      </c>
    </row>
    <row r="7" ht="30" customHeight="1">
      <c r="A7" s="19" t="inlineStr">
        <is>
          <t>imortilize — T15+ Zoo Companion Huntress (0.5.5)</t>
        </is>
      </c>
      <c r="B7" s="19" t="inlineStr">
        <is>
          <t>T15 / Arbiter / Uber, gear, beasts, atlas</t>
        </is>
      </c>
      <c r="C7" s="59" t="inlineStr">
        <is>
          <t>https://mobalytics.gg/poe-2/builds/zoo-companion-huntress-imortilize</t>
        </is>
      </c>
    </row>
    <row r="8" ht="30" customHeight="1">
      <c r="A8" s="19" t="inlineStr">
        <is>
          <t>Zizaran — Companion Spirit Walker (Maxroll, 0.5.4)</t>
        </is>
      </c>
      <c r="B8" s="19" t="inlineStr">
        <is>
          <t>Tricks de captura, crit Silverfist, idols, auras</t>
        </is>
      </c>
      <c r="C8" s="59" t="inlineStr">
        <is>
          <t>https://maxroll.gg/poe2/build-guides/companion-spirit-walker-build-guide</t>
        </is>
      </c>
    </row>
    <row r="9" ht="30" customHeight="1">
      <c r="A9" s="19" t="inlineStr">
        <is>
          <t>PoE2DB — Spirit Walker</t>
        </is>
      </c>
      <c r="B9" s="19" t="inlineStr">
        <is>
          <t>Texto exato dos nós de ascendência</t>
        </is>
      </c>
      <c r="C9" s="59" t="inlineStr">
        <is>
          <t>https://poe2db.tw/us/Spirit_Walker</t>
        </is>
      </c>
    </row>
    <row r="10" ht="30" customHeight="1">
      <c r="A10" s="19" t="inlineStr">
        <is>
          <t>PoE2DB — Darkness Enthroned / Tyranny's Grip / Trenchtimbre / Sylvan's Effigy</t>
        </is>
      </c>
      <c r="B10" s="19" t="inlineStr">
        <is>
          <t>Slot e mods dos uniques</t>
        </is>
      </c>
      <c r="C10" s="59" t="inlineStr">
        <is>
          <t>https://poe2db.tw/us/Darkness_Enthroned</t>
        </is>
      </c>
    </row>
    <row r="11" ht="30" customHeight="1">
      <c r="A11" s="19" t="inlineStr">
        <is>
          <t>PoE2DB — Trusted Kinship / Easy Going / Inspiring Ally</t>
        </is>
      </c>
      <c r="B11" s="19" t="inlineStr">
        <is>
          <t>Texto dos passivos-chave</t>
        </is>
      </c>
      <c r="C11" s="59" t="inlineStr">
        <is>
          <t>https://poe2db.tw/us/Trusted_Kinship</t>
        </is>
      </c>
    </row>
    <row r="12" ht="30" customHeight="1">
      <c r="A12" s="19" t="inlineStr">
        <is>
          <t>poe.ninja — Spirit Walker Forbidden Rites (builds + economia)</t>
        </is>
      </c>
      <c r="B12" s="19" t="inlineStr">
        <is>
          <t>Uso real de uniques, keystones, companions e preços</t>
        </is>
      </c>
      <c r="C12" s="59" t="inlineStr">
        <is>
          <t>https://poe.ninja/poe2/builds/forbiddenrites?class=Spirit%20Walker</t>
        </is>
      </c>
    </row>
    <row r="13" ht="30" customHeight="1">
      <c r="A13" s="19" t="inlineStr">
        <is>
          <t>poe-vault — Spiritwalker Boss Companion Endgame</t>
        </is>
      </c>
      <c r="B13" s="19" t="inlineStr">
        <is>
          <t>Zekoa, mods desejados, reroll com Doryani</t>
        </is>
      </c>
      <c r="C13" s="59" t="inlineStr">
        <is>
          <t>https://www.poe-vault.com/poe2/huntress/spirit-walker/tamed-boss-beast-build-guide</t>
        </is>
      </c>
    </row>
  </sheetData>
  <mergeCells count="2">
    <mergeCell ref="A1:C1"/>
    <mergeCell ref="A2:C2"/>
  </mergeCells>
  <hyperlinks>
    <hyperlink xmlns:r="http://schemas.openxmlformats.org/officeDocument/2006/relationships" ref="C4" r:id="rId1"/>
    <hyperlink xmlns:r="http://schemas.openxmlformats.org/officeDocument/2006/relationships" ref="C5" r:id="rId2"/>
    <hyperlink xmlns:r="http://schemas.openxmlformats.org/officeDocument/2006/relationships" ref="C6" r:id="rId3"/>
    <hyperlink xmlns:r="http://schemas.openxmlformats.org/officeDocument/2006/relationships" ref="C7" r:id="rId4"/>
    <hyperlink xmlns:r="http://schemas.openxmlformats.org/officeDocument/2006/relationships" ref="C8" r:id="rId5"/>
    <hyperlink xmlns:r="http://schemas.openxmlformats.org/officeDocument/2006/relationships" ref="C9" r:id="rId6"/>
    <hyperlink xmlns:r="http://schemas.openxmlformats.org/officeDocument/2006/relationships" ref="C10" r:id="rId7"/>
    <hyperlink xmlns:r="http://schemas.openxmlformats.org/officeDocument/2006/relationships" ref="C11" r:id="rId8"/>
    <hyperlink xmlns:r="http://schemas.openxmlformats.org/officeDocument/2006/relationships" ref="C12" r:id="rId9"/>
    <hyperlink xmlns:r="http://schemas.openxmlformats.org/officeDocument/2006/relationships" ref="C13" r:id="rId1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2026-09-16T11:35:25Z</dcterms:created>
  <dcterms:modified xmlns:dcterms="http://purl.org/dc/terms/" xmlns:xsi="http://www.w3.org/2001/XMLSchema-instance" xsi:type="dcterms:W3CDTF">2026-09-16T11:35:27Z</dcterms:modified>
</cp:coreProperties>
</file>