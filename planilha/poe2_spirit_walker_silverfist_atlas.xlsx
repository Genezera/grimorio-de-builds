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enan\AppData\Local\Temp\claude\C--Users-Renan-AppData-Roaming-Claude-scratch-workspaces-2062805e-5b23-4387-b38f-1393d8ee1698-eaff6b80-d515-4ba6-9585-90b81107ba48-scratch-2026-09-15-1e54ab\cdbc1df6-b371-4f63-9537-edfc0e7b902a\scratchpad\"/>
    </mc:Choice>
  </mc:AlternateContent>
  <xr:revisionPtr revIDLastSave="0" documentId="13_ncr:1_{56BE8EDB-1125-4AAB-AB59-AB39459B2C57}" xr6:coauthVersionLast="47" xr6:coauthVersionMax="47" xr10:uidLastSave="{00000000-0000-0000-0000-000000000000}"/>
  <bookViews>
    <workbookView xWindow="1560" yWindow="1560" windowWidth="21600" windowHeight="11295" xr2:uid="{00000000-000D-0000-FFFF-FFFF00000000}"/>
  </bookViews>
  <sheets>
    <sheet name="INÍCIO" sheetId="1" r:id="rId1"/>
    <sheet name="Listas" sheetId="2" state="hidden" r:id="rId2"/>
    <sheet name="Nível 1-100" sheetId="3" r:id="rId3"/>
    <sheet name="Rota por Fase" sheetId="4" r:id="rId4"/>
    <sheet name="Skills &amp; Supports" sheetId="5" r:id="rId5"/>
    <sheet name="Gear" sheetId="6" r:id="rId6"/>
    <sheet name="Spirit Planner" sheetId="7" r:id="rId7"/>
    <sheet name="Companions &amp; Beasts" sheetId="8" r:id="rId8"/>
    <sheet name="Ascendência &amp; Árvore" sheetId="9" r:id="rId9"/>
    <sheet name="Quests" sheetId="10" r:id="rId10"/>
    <sheet name="Tricks Pro" sheetId="11" r:id="rId11"/>
    <sheet name="Diagnóstico" sheetId="12" r:id="rId12"/>
    <sheet name="Atlas" sheetId="13" r:id="rId13"/>
    <sheet name="Otimizações &amp; Meta" sheetId="14" r:id="rId14"/>
    <sheet name="Uniques" sheetId="15" r:id="rId15"/>
    <sheet name="Passivas &amp; Itens" sheetId="16" r:id="rId16"/>
    <sheet name="Fontes" sheetId="17" r:id="rId17"/>
  </sheets>
  <definedNames>
    <definedName name="_xlnm._FilterDatabase" localSheetId="2" hidden="1">'Nível 1-100'!$A$3:$H$103</definedName>
    <definedName name="_xlnm._FilterDatabase" localSheetId="9" hidden="1">Quests!$A$3:$F$32</definedName>
    <definedName name="_xlnm._FilterDatabase" localSheetId="4" hidden="1">'Skills &amp; Supports'!$A$3:$J$79</definedName>
    <definedName name="_xlnm._FilterDatabase" localSheetId="10" hidden="1">'Tricks Pro'!$A$3:$D$39</definedName>
    <definedName name="_xlnm._FilterDatabase" localSheetId="14" hidden="1">Uniques!$A$3:$J$50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 i="7" l="1"/>
  <c r="F25" i="7"/>
  <c r="F24" i="7"/>
  <c r="F23" i="7"/>
  <c r="F22" i="7"/>
  <c r="F21" i="7"/>
  <c r="C13" i="7"/>
  <c r="B13" i="7"/>
  <c r="F18" i="7" s="1"/>
  <c r="B12" i="7"/>
  <c r="F20" i="7" s="1"/>
  <c r="B11" i="7"/>
  <c r="B5" i="7"/>
  <c r="K103" i="3"/>
  <c r="J103" i="3"/>
  <c r="I103" i="3"/>
  <c r="I102" i="3"/>
  <c r="I101" i="3"/>
  <c r="I100" i="3"/>
  <c r="I99" i="3"/>
  <c r="K98" i="3"/>
  <c r="K99" i="3" s="1"/>
  <c r="K100" i="3" s="1"/>
  <c r="K101" i="3" s="1"/>
  <c r="K102" i="3" s="1"/>
  <c r="J98" i="3"/>
  <c r="J99" i="3" s="1"/>
  <c r="J100" i="3" s="1"/>
  <c r="J101" i="3" s="1"/>
  <c r="J102" i="3" s="1"/>
  <c r="I98" i="3"/>
  <c r="I97" i="3"/>
  <c r="I96" i="3"/>
  <c r="I95" i="3"/>
  <c r="I94" i="3"/>
  <c r="K93" i="3"/>
  <c r="K94" i="3" s="1"/>
  <c r="K95" i="3" s="1"/>
  <c r="K96" i="3" s="1"/>
  <c r="K97" i="3" s="1"/>
  <c r="J93" i="3"/>
  <c r="J94" i="3" s="1"/>
  <c r="J95" i="3" s="1"/>
  <c r="J96" i="3" s="1"/>
  <c r="J97" i="3" s="1"/>
  <c r="I93" i="3"/>
  <c r="I92" i="3"/>
  <c r="I91" i="3"/>
  <c r="I90" i="3"/>
  <c r="K89" i="3"/>
  <c r="K90" i="3" s="1"/>
  <c r="K91" i="3" s="1"/>
  <c r="K92" i="3" s="1"/>
  <c r="J89" i="3"/>
  <c r="J90" i="3" s="1"/>
  <c r="J91" i="3" s="1"/>
  <c r="J92" i="3" s="1"/>
  <c r="I89" i="3"/>
  <c r="I88" i="3"/>
  <c r="K87" i="3"/>
  <c r="K88" i="3" s="1"/>
  <c r="J87" i="3"/>
  <c r="J88" i="3" s="1"/>
  <c r="I87" i="3"/>
  <c r="I86" i="3"/>
  <c r="K85" i="3"/>
  <c r="K86" i="3" s="1"/>
  <c r="J85" i="3"/>
  <c r="J86" i="3" s="1"/>
  <c r="I85" i="3"/>
  <c r="I84" i="3"/>
  <c r="K83" i="3"/>
  <c r="K84" i="3" s="1"/>
  <c r="J83" i="3"/>
  <c r="J84" i="3" s="1"/>
  <c r="I83" i="3"/>
  <c r="I82" i="3"/>
  <c r="K81" i="3"/>
  <c r="K82" i="3" s="1"/>
  <c r="J81" i="3"/>
  <c r="J82" i="3" s="1"/>
  <c r="I81" i="3"/>
  <c r="I80" i="3"/>
  <c r="I79" i="3"/>
  <c r="K78" i="3"/>
  <c r="K79" i="3" s="1"/>
  <c r="K80" i="3" s="1"/>
  <c r="J78" i="3"/>
  <c r="J79" i="3" s="1"/>
  <c r="J80" i="3" s="1"/>
  <c r="I78" i="3"/>
  <c r="I77" i="3"/>
  <c r="I76" i="3"/>
  <c r="K75" i="3"/>
  <c r="K76" i="3" s="1"/>
  <c r="K77" i="3" s="1"/>
  <c r="J75" i="3"/>
  <c r="J76" i="3" s="1"/>
  <c r="J77" i="3" s="1"/>
  <c r="I75" i="3"/>
  <c r="I74" i="3"/>
  <c r="I73" i="3"/>
  <c r="I72" i="3"/>
  <c r="K71" i="3"/>
  <c r="K72" i="3" s="1"/>
  <c r="K73" i="3" s="1"/>
  <c r="K74" i="3" s="1"/>
  <c r="J71" i="3"/>
  <c r="J72" i="3" s="1"/>
  <c r="J73" i="3" s="1"/>
  <c r="J74" i="3" s="1"/>
  <c r="I71" i="3"/>
  <c r="I70" i="3"/>
  <c r="K69" i="3"/>
  <c r="K70" i="3" s="1"/>
  <c r="J69" i="3"/>
  <c r="J70" i="3" s="1"/>
  <c r="I69" i="3"/>
  <c r="K68" i="3"/>
  <c r="J68" i="3"/>
  <c r="I68" i="3"/>
  <c r="I67" i="3"/>
  <c r="I66" i="3"/>
  <c r="K65" i="3"/>
  <c r="K66" i="3" s="1"/>
  <c r="K67" i="3" s="1"/>
  <c r="J65" i="3"/>
  <c r="J66" i="3" s="1"/>
  <c r="J67" i="3" s="1"/>
  <c r="I65" i="3"/>
  <c r="I64" i="3"/>
  <c r="I63" i="3"/>
  <c r="I62" i="3"/>
  <c r="K61" i="3"/>
  <c r="K62" i="3" s="1"/>
  <c r="K63" i="3" s="1"/>
  <c r="K64" i="3" s="1"/>
  <c r="J61" i="3"/>
  <c r="J62" i="3" s="1"/>
  <c r="J63" i="3" s="1"/>
  <c r="J64" i="3" s="1"/>
  <c r="I61" i="3"/>
  <c r="I60" i="3"/>
  <c r="K59" i="3"/>
  <c r="K60" i="3" s="1"/>
  <c r="J59" i="3"/>
  <c r="J60" i="3" s="1"/>
  <c r="I59" i="3"/>
  <c r="K58" i="3"/>
  <c r="J58" i="3"/>
  <c r="I58" i="3"/>
  <c r="I57" i="3"/>
  <c r="K56" i="3"/>
  <c r="K57" i="3" s="1"/>
  <c r="I56" i="3"/>
  <c r="K55" i="3"/>
  <c r="J55" i="3"/>
  <c r="J56" i="3" s="1"/>
  <c r="J57" i="3" s="1"/>
  <c r="I55" i="3"/>
  <c r="I54" i="3"/>
  <c r="I53" i="3"/>
  <c r="I52" i="3"/>
  <c r="K51" i="3"/>
  <c r="K52" i="3" s="1"/>
  <c r="K53" i="3" s="1"/>
  <c r="K54" i="3" s="1"/>
  <c r="J51" i="3"/>
  <c r="J52" i="3" s="1"/>
  <c r="J53" i="3" s="1"/>
  <c r="J54" i="3" s="1"/>
  <c r="I51" i="3"/>
  <c r="I50" i="3"/>
  <c r="K49" i="3"/>
  <c r="K50" i="3" s="1"/>
  <c r="J49" i="3"/>
  <c r="J50" i="3" s="1"/>
  <c r="I49" i="3"/>
  <c r="I48" i="3"/>
  <c r="I47" i="3"/>
  <c r="I46" i="3"/>
  <c r="I45" i="3"/>
  <c r="I44" i="3"/>
  <c r="K43" i="3"/>
  <c r="K44" i="3" s="1"/>
  <c r="K45" i="3" s="1"/>
  <c r="K46" i="3" s="1"/>
  <c r="K47" i="3" s="1"/>
  <c r="K48" i="3" s="1"/>
  <c r="J43" i="3"/>
  <c r="J44" i="3" s="1"/>
  <c r="J45" i="3" s="1"/>
  <c r="J46" i="3" s="1"/>
  <c r="J47" i="3" s="1"/>
  <c r="J48" i="3" s="1"/>
  <c r="I43" i="3"/>
  <c r="I42" i="3"/>
  <c r="I41" i="3"/>
  <c r="I40" i="3"/>
  <c r="I39" i="3"/>
  <c r="K38" i="3"/>
  <c r="K39" i="3" s="1"/>
  <c r="K40" i="3" s="1"/>
  <c r="K41" i="3" s="1"/>
  <c r="K42" i="3" s="1"/>
  <c r="J38" i="3"/>
  <c r="B13" i="1" s="1"/>
  <c r="I38" i="3"/>
  <c r="K37" i="3"/>
  <c r="J37" i="3"/>
  <c r="I37" i="3"/>
  <c r="K36" i="3"/>
  <c r="J36" i="3"/>
  <c r="I36" i="3"/>
  <c r="K35" i="3"/>
  <c r="J35" i="3"/>
  <c r="I35" i="3"/>
  <c r="I34" i="3"/>
  <c r="K33" i="3"/>
  <c r="K34" i="3" s="1"/>
  <c r="J33" i="3"/>
  <c r="J34" i="3" s="1"/>
  <c r="I33" i="3"/>
  <c r="K32" i="3"/>
  <c r="I32" i="3"/>
  <c r="K31" i="3"/>
  <c r="J31" i="3"/>
  <c r="J32" i="3" s="1"/>
  <c r="I31" i="3"/>
  <c r="I30" i="3"/>
  <c r="I29" i="3"/>
  <c r="K28" i="3"/>
  <c r="K29" i="3" s="1"/>
  <c r="K30" i="3" s="1"/>
  <c r="J28" i="3"/>
  <c r="J29" i="3" s="1"/>
  <c r="J30" i="3" s="1"/>
  <c r="I28" i="3"/>
  <c r="I27" i="3"/>
  <c r="I26" i="3"/>
  <c r="I25" i="3"/>
  <c r="K24" i="3"/>
  <c r="K25" i="3" s="1"/>
  <c r="K26" i="3" s="1"/>
  <c r="K27" i="3" s="1"/>
  <c r="I24" i="3"/>
  <c r="K23" i="3"/>
  <c r="J23" i="3"/>
  <c r="J24" i="3" s="1"/>
  <c r="J25" i="3" s="1"/>
  <c r="J26" i="3" s="1"/>
  <c r="J27" i="3" s="1"/>
  <c r="I23" i="3"/>
  <c r="I22" i="3"/>
  <c r="I21" i="3"/>
  <c r="I20" i="3"/>
  <c r="K19" i="3"/>
  <c r="K20" i="3" s="1"/>
  <c r="K21" i="3" s="1"/>
  <c r="K22" i="3" s="1"/>
  <c r="J19" i="3"/>
  <c r="J20" i="3" s="1"/>
  <c r="J21" i="3" s="1"/>
  <c r="J22" i="3" s="1"/>
  <c r="I19" i="3"/>
  <c r="I18" i="3"/>
  <c r="K17" i="3"/>
  <c r="K18" i="3" s="1"/>
  <c r="J17" i="3"/>
  <c r="J18" i="3" s="1"/>
  <c r="I17" i="3"/>
  <c r="I16" i="3"/>
  <c r="I15" i="3"/>
  <c r="I14" i="3"/>
  <c r="K13" i="3"/>
  <c r="K14" i="3" s="1"/>
  <c r="K15" i="3" s="1"/>
  <c r="K16" i="3" s="1"/>
  <c r="J13" i="3"/>
  <c r="J14" i="3" s="1"/>
  <c r="J15" i="3" s="1"/>
  <c r="J16" i="3" s="1"/>
  <c r="I13" i="3"/>
  <c r="I12" i="3"/>
  <c r="K11" i="3"/>
  <c r="K12" i="3" s="1"/>
  <c r="J11" i="3"/>
  <c r="J12" i="3" s="1"/>
  <c r="I11" i="3"/>
  <c r="I10" i="3"/>
  <c r="I9" i="3"/>
  <c r="I8" i="3"/>
  <c r="K7" i="3"/>
  <c r="K8" i="3" s="1"/>
  <c r="K9" i="3" s="1"/>
  <c r="K10" i="3" s="1"/>
  <c r="J7" i="3"/>
  <c r="J8" i="3" s="1"/>
  <c r="J9" i="3" s="1"/>
  <c r="J10" i="3" s="1"/>
  <c r="I7" i="3"/>
  <c r="I6" i="3"/>
  <c r="I5" i="3"/>
  <c r="K4" i="3"/>
  <c r="K5" i="3" s="1"/>
  <c r="K6" i="3" s="1"/>
  <c r="J4" i="3"/>
  <c r="J5" i="3" s="1"/>
  <c r="J6" i="3" s="1"/>
  <c r="I4" i="3"/>
  <c r="B17" i="1"/>
  <c r="B16" i="1"/>
  <c r="B15" i="1"/>
  <c r="B12" i="1"/>
  <c r="B11" i="1"/>
  <c r="B10" i="1"/>
  <c r="B9" i="1"/>
  <c r="B14" i="1" l="1"/>
  <c r="F17" i="7"/>
  <c r="J39" i="3"/>
  <c r="J40" i="3" s="1"/>
  <c r="J41" i="3" s="1"/>
  <c r="J42" i="3" s="1"/>
  <c r="F19" i="7"/>
  <c r="B28" i="7" l="1"/>
  <c r="B30" i="7" l="1"/>
  <c r="B29" i="7"/>
  <c r="B31"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Guia</author>
  </authors>
  <commentList>
    <comment ref="B5" authorId="0" shapeId="0" xr:uid="{00000000-0006-0000-0000-000001000000}">
      <text>
        <r>
          <rPr>
            <sz val="11"/>
            <color theme="1"/>
            <rFont val="Calibri"/>
            <family val="2"/>
            <scheme val="minor"/>
          </rPr>
          <t>Digite seu nível (1–100). Todo o painel se ajusta.</t>
        </r>
      </text>
    </comment>
    <comment ref="B7" authorId="0" shapeId="0" xr:uid="{00000000-0006-0000-0000-000002000000}">
      <text>
        <r>
          <rPr>
            <sz val="11"/>
            <color theme="1"/>
            <rFont val="Calibri"/>
            <family val="2"/>
            <scheme val="minor"/>
          </rPr>
          <t>Valor mostrado no painel de personagem. Usado no Spirit Planner.</t>
        </r>
      </text>
    </comment>
  </commentList>
</comments>
</file>

<file path=xl/sharedStrings.xml><?xml version="1.0" encoding="utf-8"?>
<sst xmlns="http://schemas.openxmlformats.org/spreadsheetml/2006/main" count="4194" uniqueCount="1635">
  <si>
    <t>SPIRIT WALKER · ZOO CHOBER CHABER (rota Mattjestic) — Nível 1 → 100</t>
  </si>
  <si>
    <t>PoE 2 0.5.5 · Liga Forbidden Rites · atualizado 15/09/2026 · rota barata com trade + opção completa. Edite só as células AMARELAS.</t>
  </si>
  <si>
    <t>ONDE ESTOU AGORA</t>
  </si>
  <si>
    <t>Seu nível atual</t>
  </si>
  <si>
    <t>Modo de investimento</t>
  </si>
  <si>
    <t>Barato</t>
  </si>
  <si>
    <t>Spirit total (do jogo)</t>
  </si>
  <si>
    <t>Fase atual</t>
  </si>
  <si>
    <t>Etapa</t>
  </si>
  <si>
    <t>Quem carrega o dano</t>
  </si>
  <si>
    <t>Objetivo da fase</t>
  </si>
  <si>
    <t>Último marco (até seu nível)</t>
  </si>
  <si>
    <t>Próximo marco</t>
  </si>
  <si>
    <t>Compra recomendada agora</t>
  </si>
  <si>
    <t>Progresso de marcos</t>
  </si>
  <si>
    <t>Quests permanentes feitas</t>
  </si>
  <si>
    <t>ROTA S-TIER — FASES (a linha dourada é a sua fase)</t>
  </si>
  <si>
    <t>Fase</t>
  </si>
  <si>
    <t>Níveis</t>
  </si>
  <si>
    <t>Carry</t>
  </si>
  <si>
    <t>Dano player/zoo</t>
  </si>
  <si>
    <t>Ascendência</t>
  </si>
  <si>
    <t>Sai da fase quando…</t>
  </si>
  <si>
    <t>Ato 1</t>
  </si>
  <si>
    <t>1–15</t>
  </si>
  <si>
    <t>Twister (leveling)</t>
  </si>
  <si>
    <t>Você: Twister + Whirling Slash</t>
  </si>
  <si>
    <t>100% / 0%</t>
  </si>
  <si>
    <t>—</t>
  </si>
  <si>
    <t>King in the Mists (+30 Spirit) · Candlemass (+20 vida) · Botas com MS · Nível ~16</t>
  </si>
  <si>
    <t>Ato 2</t>
  </si>
  <si>
    <t>16–30</t>
  </si>
  <si>
    <t>1ª Ascendência</t>
  </si>
  <si>
    <t>Você: Twister + urso</t>
  </si>
  <si>
    <t>85% / 15%</t>
  </si>
  <si>
    <t>Wild Protector (Trial of the Sekhemas, Ato 2)</t>
  </si>
  <si>
    <t>1ª Ascendência: Wild Protector · Medallion (+1 Charm Slot) · Currency guardada para a troca</t>
  </si>
  <si>
    <t>Ato 3</t>
  </si>
  <si>
    <t>31–45</t>
  </si>
  <si>
    <t>A troca: macaco + esqueletos</t>
  </si>
  <si>
    <t>Mighty Silverfist (+ urso + esqueletos)</t>
  </si>
  <si>
    <t>5% / 95%</t>
  </si>
  <si>
    <t>The Natural Order (Trial of Chaos, Ato 3)</t>
  </si>
  <si>
    <t>Silverfist capturado · Twister fora da barra · Pain Offering + Skeletal Warrior funcionando · Ignagduk (+30 Spirit)</t>
  </si>
  <si>
    <t>Ato 4</t>
  </si>
  <si>
    <t>46–55</t>
  </si>
  <si>
    <t>3 companions + chaos</t>
  </si>
  <si>
    <t>Silverfist (+ aura bots)</t>
  </si>
  <si>
    <t>0% / 100%</t>
  </si>
  <si>
    <t>3 companions · Evergrasping Ring ×2 + Withering Presence · Testes de resistência do Ato 4 feitos</t>
  </si>
  <si>
    <t>Interlúdios</t>
  </si>
  <si>
    <t>56–64</t>
  </si>
  <si>
    <t>Esqueletos para o Muster</t>
  </si>
  <si>
    <t>Silverfist + zoo</t>
  </si>
  <si>
    <t>5 tipos de esqueleto ativos · Muster no macaco · Lythara (+40 Spirit) · Resists no cap</t>
  </si>
  <si>
    <t>Início do Atlas</t>
  </si>
  <si>
    <t>65–77</t>
  </si>
  <si>
    <t>Catha's Balance + mapping</t>
  </si>
  <si>
    <t>Macaco (Silverfist/Zekoa) + zoo</t>
  </si>
  <si>
    <t>The Catha's Balance (Trial nível 60+)</t>
  </si>
  <si>
    <t>Catha's Balance · Chober Chaber equipada · T1–T10 sem mortes · Juntar ~1 div para o Effigy</t>
  </si>
  <si>
    <t>T15+ (Effigy)</t>
  </si>
  <si>
    <t>78–89</t>
  </si>
  <si>
    <t>Chober + Giant's Blood + Effigy</t>
  </si>
  <si>
    <t>Zekoa + Azmerian Wolf + zoo</t>
  </si>
  <si>
    <t>Idolatry (Trial nível 75+)</t>
  </si>
  <si>
    <t>Giant's Blood + Chober + Effigy · Zekoa com Extra Crits/Haste · 3 aura bots · Forgotten Warden + Spirit Vessel</t>
  </si>
  <si>
    <t>Arbiter / Min-max</t>
  </si>
  <si>
    <t>90–100</t>
  </si>
  <si>
    <t>Mind Over Matter + 27 companions</t>
  </si>
  <si>
    <t>Zoo inteiro</t>
  </si>
  <si>
    <t>Arbiter · Uber Arbiter</t>
  </si>
  <si>
    <t>CORREÇÕES FEITAS NA PLANILHA ANTIGA</t>
  </si>
  <si>
    <t>✔ Spirit Planner antigo somava a coluna errada (fórmulas deslocadas) — refeito com cálculo de eficiência.</t>
  </si>
  <si>
    <t>✔ Darkness Enthroned estava como capacete — é um CINTO (Fine Belt).</t>
  </si>
  <si>
    <t>✔ Trenchtimbre é maça de uma mão, não spear.</t>
  </si>
  <si>
    <t>✔ Comparação de arma: com Catha's Balance vale dano por golpe, não pDPS.</t>
  </si>
  <si>
    <t>✔ Linhas de nível repetiam o mesmo texto; agora cada nível tem o marco real e a tabela vai até o 100.</t>
  </si>
  <si>
    <t>✔ Sylvan's Effigy é Stoic Sceptre (drop em área 78+).</t>
  </si>
  <si>
    <t>✔ Guia base mandava tirar Trusted Kinship com o Effigy: o meta (99%) mantém.</t>
  </si>
  <si>
    <t>✔ Effigy tratado como luxo: custa ~1 div na Forbidden Rites.</t>
  </si>
  <si>
    <t>✔ Uniques do meta adicionados: Forgotten Warden, Chober Chaber, The Vertex, Treefingers, Alpha's Howl etc.</t>
  </si>
  <si>
    <t>✔ Rota refeita em cima do guia do Mattjestic com foco na Chober Chaber.</t>
  </si>
  <si>
    <t>✔ Ball Lightning/Lightning Warp removidos (nenhuma variante do Mattjestic usa).</t>
  </si>
  <si>
    <t>✔ Corrigido: Pain Offering é central; Skeletal Cleric serve de alvo; Withering Presence vale com Evergrasping Ring.</t>
  </si>
  <si>
    <t>Nível inicial</t>
  </si>
  <si>
    <t>Objetivo</t>
  </si>
  <si>
    <t>Tag</t>
  </si>
  <si>
    <t>Status</t>
  </si>
  <si>
    <t>Sim/Não</t>
  </si>
  <si>
    <t>Modo</t>
  </si>
  <si>
    <t>Tipo</t>
  </si>
  <si>
    <t>Unidade</t>
  </si>
  <si>
    <t>Subir rápido com Twister. Nada de minion ainda: o foco é chegar ao Ato 3 com dinheiro e nível para trocar para o macaco + Chober Chaber.</t>
  </si>
  <si>
    <t>Pendente</t>
  </si>
  <si>
    <t>Sim</t>
  </si>
  <si>
    <t>Companion</t>
  </si>
  <si>
    <t>%</t>
  </si>
  <si>
    <t>Wild Protector na 1ª Ascendência e juntar gold/currency para a troca do Ato 3 (Chober Chaber, The Vertex, Treefingers, Rattling Sceptre).</t>
  </si>
  <si>
    <t>Fazendo</t>
  </si>
  <si>
    <t>Não</t>
  </si>
  <si>
    <t>Completo</t>
  </si>
  <si>
    <t>Outro</t>
  </si>
  <si>
    <t>Flat</t>
  </si>
  <si>
    <t>Capturar o Mighty Silverfist com The Natural Order e trocar a build inteira para minions no mesmo dia: Twister sai, entram macaco, urso, Skeletal Warriors e Pain Offering.</t>
  </si>
  <si>
    <t>Feito</t>
  </si>
  <si>
    <t>Terceiro companion, marks e curse. Entram Evergrasping Ring (aliados ganham dano de chaos) e Withering Presence (inimigos recebem mais chaos): as duas peças se multiplicam.</t>
  </si>
  <si>
    <t>Somar vários TIPOS de esqueleto (Frost Mage, Arsonist, Sniper, Reaver) só para o Muster: cada tipo diferente = +7% more dano no macaco. Vulnerability tira Armour.</t>
  </si>
  <si>
    <t>The Catha's Balance transforma o dano da SUA arma em dano dos companions (60% por golpe). É aqui que a Chober Chaber vira o centro: maça de 2 mãos com dano base altíssimo, +Minion Skills e +50 Spirit.</t>
  </si>
  <si>
    <t>Giant's Blood na árvore (maça de 2 mãos + sceptre), Sylvan's Effigy (companions ilimitados + Azmerian Wolf), Forgotten Warden (Spirit Vessel grátis). Os esqueletos saem, porque o Rattling Sceptre dá lugar ao Effigy. O Skeletal Cleric vira o alvo do Pain Offering.</t>
  </si>
  <si>
    <t>Endgame do Mattjestic: Mind Over Matter (dano sai da mana primeiro), Mageblood e até 27 companions. O macaco vira o único DPS 'puro'; os outros são aura bots super defensivos.</t>
  </si>
  <si>
    <t>NÍVEL 1 → 100 — marco por nível</t>
  </si>
  <si>
    <t>Linhas com marco real em negrito. Marque Status = Feito. A linha do seu nível fica dourada (nível no INÍCIO).</t>
  </si>
  <si>
    <t>Nível</t>
  </si>
  <si>
    <t>Faça agora (marco)</t>
  </si>
  <si>
    <t>Foco da fase</t>
  </si>
  <si>
    <t>Barato (trade)</t>
  </si>
  <si>
    <t>Completo (currency)</t>
  </si>
  <si>
    <t>aux</t>
  </si>
  <si>
    <t>Twister + Whirling Slash. Spear rare ou Splinter of Lorrata.</t>
  </si>
  <si>
    <t>Rare spear com mais dano que cair</t>
  </si>
  <si>
    <t>Kit de uniques baratos do Mattjestic: Splinter of Lorrata → Skysliver (spear), Foxshade (body), 2× Blackheart (anéis), Goldrim (capacete), Wanderlust (botas), Meginord's Girdle, Surefooted Sigil</t>
  </si>
  <si>
    <t>Movement Speed → Vida, Resistências, Dano da spear</t>
  </si>
  <si>
    <t>Botas com Movement Speed</t>
  </si>
  <si>
    <t>Todos custam poucos Exalts no trade e fazem o Ato 1–2 voar</t>
  </si>
  <si>
    <t>Qualquer escudo/buckler com Evasion</t>
  </si>
  <si>
    <t>Twister liberado. Herald of Ice quando tiver Spirit.</t>
  </si>
  <si>
    <t>Hunting Grounds: The Crowbell (2 weapon set points).</t>
  </si>
  <si>
    <t>Freythorn: King in the Mists (+30 Spirit).</t>
  </si>
  <si>
    <t>Ogham Manor: Candlemass (+20 vida).</t>
  </si>
  <si>
    <t>Skysliver (spear) se for no modo completo.</t>
  </si>
  <si>
    <t>Rare spear + botas com MS</t>
  </si>
  <si>
    <t>Skysliver (spear) · Foxshade · 2× Blackheart · Goldrim · Wanderlust · Surefooted Sigil · Meginord's Girdle</t>
  </si>
  <si>
    <t>Movement Speed → Vida, Resistências, Spirit</t>
  </si>
  <si>
    <t>Meginord's Girdle se faltar Strength</t>
  </si>
  <si>
    <t>Comece a guardar para: Chober Chaber (~2 ex), Treefingers (~5 ex), Rattling Sceptre (qualquer), The Vertex versão 'Equipment' (~0,4 div)</t>
  </si>
  <si>
    <t>Trial of the Sekhemas → Wild Protector.</t>
  </si>
  <si>
    <t>Valley of the Titans: Medallion (+1 Charm Slot).</t>
  </si>
  <si>
    <t>Comece a guardar currency para a troca do Ato 3.</t>
  </si>
  <si>
    <t>Compre: Rattling Sceptre + Trenchtimbre (barato) ou Chober Chaber + Treefingers + The Vertex (completo).</t>
  </si>
  <si>
    <t>Rattling Sceptre (main) + Trenchtimbre (offhand) — exatamente como o Mattjestic</t>
  </si>
  <si>
    <t>Chober Chaber + Rattling Sceptre (com Treefingers dando Giant's Blood)</t>
  </si>
  <si>
    <t>Jungle Ruins: NÃO mate o Silverfist ainda.</t>
  </si>
  <si>
    <t>+Minion Skills → Spirit, Movement Speed, Vida</t>
  </si>
  <si>
    <t>Midnight Braid (cinto) · Foxshade/Wanderlust/Blackheart mantidos</t>
  </si>
  <si>
    <t>The Vertex versão 'Equipment has no Attribute Requirements' para zerar os requisitos triplicados</t>
  </si>
  <si>
    <t>Trial of Chaos → The Natural Order.</t>
  </si>
  <si>
    <t>Enfolding Dawn (+100 Spirit no body) para caber mais minions</t>
  </si>
  <si>
    <t>Capture o Mighty Silverfist. Respec completo para minion.</t>
  </si>
  <si>
    <t>TROCA: tire Twister/Whirling. Entram Skeletal Warrior + Pain Offering + Unearth.</t>
  </si>
  <si>
    <t>Azak Bog: Ignagduk (+30 Spirit). 2º beast de aura.</t>
  </si>
  <si>
    <t>Evergrasping Ring ×2 + Withering Presence (sinergia de chaos).</t>
  </si>
  <si>
    <t>Rattling Sceptre + Trenchtimbre</t>
  </si>
  <si>
    <t>Chober Chaber + Rattling Sceptre + Treefingers + The Vertex</t>
  </si>
  <si>
    <t>+Minion Skills → Spirit, Vida, Resistências</t>
  </si>
  <si>
    <t>Evergrasping Ring ×2 (aliados ganham 15–25% do dano como chaos)</t>
  </si>
  <si>
    <t>Evergrasping Ring ×2 · Enfolding Dawn · Bushwhack</t>
  </si>
  <si>
    <t>Whakapanu Island: capture Quill/Coconut Crab com aura (~25% Spirit).</t>
  </si>
  <si>
    <t>Enfolding Dawn (+100 Spirit) · Bushwhack (botas) · Midnight Braid</t>
  </si>
  <si>
    <t>Primeiro Quill/Coconut Crab com Haste Aura</t>
  </si>
  <si>
    <t>Charms contra bleed/ignite</t>
  </si>
  <si>
    <t>Sniper's Mark + Mark for Death no boss.</t>
  </si>
  <si>
    <t>Tribal Medicine: Evasion como Deflection.</t>
  </si>
  <si>
    <t>Muster no macaco. Adicione Frost Mage/Arsonist/Sniper/Reaver (tipos para o Muster).</t>
  </si>
  <si>
    <t>Trenchtimbre na main-hand + Rattling Sceptre no offhand</t>
  </si>
  <si>
    <t>+Minion Skills → Spirit, Vida, Resistências (cap 75%)</t>
  </si>
  <si>
    <t>Enfolding Dawn · Bushwhack · Evergrasping Ring ×2 · Meginord's Girdle</t>
  </si>
  <si>
    <t>Enfolding Dawn · Bushwhack · Evergrasping Ring ×2</t>
  </si>
  <si>
    <t>Vulnerability (curse) + Heightened Curse.</t>
  </si>
  <si>
    <t>Capacete Runeforged (Elite Greathelm) para Runic Ward</t>
  </si>
  <si>
    <t>Ventor's Gamble se sobrar dinheiro</t>
  </si>
  <si>
    <t>Kriar Village: Lythara (+40 Spirit).</t>
  </si>
  <si>
    <t>The Catha's Balance: o dano da sua arma vira dano dos companions.</t>
  </si>
  <si>
    <t>Trenchtimbre + Rattling Sceptre até juntar para a Chober Chaber</t>
  </si>
  <si>
    <t>Chober Chaber (Runeforged) + Rattling Sceptre + Treefingers + The Vertex</t>
  </si>
  <si>
    <t>Chober Chaber na main-hand (se ainda estava na Trenchtimbre).</t>
  </si>
  <si>
    <t>Dano base da main-hand (Catha) → +Minion Skills, Spirit, Vida</t>
  </si>
  <si>
    <t>Evergrasping Ring ×2 · armaduras Runeforged (Runic Ward para o Refutation)</t>
  </si>
  <si>
    <t>Sylvan's Effigy assim que tiver ~1 div (substitui o Rattling Sceptre)</t>
  </si>
  <si>
    <t>Jewels: From Nothing · Undying Hate</t>
  </si>
  <si>
    <t>From Nothing · Undying Hate</t>
  </si>
  <si>
    <t>Despair + Skeletal Cleric + Refutation (armaduras Runeforged).</t>
  </si>
  <si>
    <t>Caça ao Zekoa (Riverside/Rupture + tablets de mod extra).</t>
  </si>
  <si>
    <t>Giant's Blood na árvore (ou Flesh Crucible) — solte a Treefingers se quiser outras luvas.</t>
  </si>
  <si>
    <t>Sylvan's Effigy (~1 div): Azmerian Wolf, Discipline, companions ilimitados.</t>
  </si>
  <si>
    <t>Chober Chaber + Sylvan's Effigy</t>
  </si>
  <si>
    <t>Mesmo set + Idolatry com Idols em tudo</t>
  </si>
  <si>
    <t>Dano base da Chober Chaber → +Minion Skills, Spirit, Evasion/Deflection</t>
  </si>
  <si>
    <t>Forgotten Warden · Lavianga's Spirits</t>
  </si>
  <si>
    <t>Prism of Belief +2/+3 Tamed Companion</t>
  </si>
  <si>
    <t>Forgotten Warden: Spirit Vessel com Furious Slam + Arctic Howl.</t>
  </si>
  <si>
    <t>Spiteful Floret no weapon set 2 (Sanguine Revelry)</t>
  </si>
  <si>
    <t>Morior Invictus se preferir tank</t>
  </si>
  <si>
    <t>Jewels: Controlled Metamorphosis · Megalomaniac · From Nothing</t>
  </si>
  <si>
    <t>Skeletal Cleric vira alvo do Pain Offering (Sacrificial Lamb II + Brutus' Brain no Pain Offering).</t>
  </si>
  <si>
    <t>Mace Strike + Einhar's Beastrite; Spiteful Floret no weapon set 2.</t>
  </si>
  <si>
    <t>3 aura bots (Haste/Physical/ES).</t>
  </si>
  <si>
    <t>Mind Over Matter + Lavianga's Spirits.</t>
  </si>
  <si>
    <t>Setup do T15 + Mind Over Matter (Lavianga's Spirits sustenta)</t>
  </si>
  <si>
    <t>Mageblood · Kalandra's Touch · Rite of Passage</t>
  </si>
  <si>
    <t>Mana (Mind Over Matter) → +Minion Skills, Spirit, Evasion/Deflection</t>
  </si>
  <si>
    <t>Charms: The Fall of the Axe · Nascent Hope · Beira's Anguish</t>
  </si>
  <si>
    <t>Runeforged Pariah Mask · Drakeskin Boots · Barbed Bracers (rares/runeforged do Mattjestic)</t>
  </si>
  <si>
    <t>Variante 12m: Morior Invictus + 2× Chober Chaber (weapon swap)</t>
  </si>
  <si>
    <t>Mageblood / Kalandra's Touch (luxo).</t>
  </si>
  <si>
    <t>Uber Arbiter.</t>
  </si>
  <si>
    <t>ROTA POR FASE — o que jogar, comprar e evitar</t>
  </si>
  <si>
    <t>Cada bloco é uma fase. 'Barato' = começar com pouco no trade; 'Completo' = seguir a build como deve ser.</t>
  </si>
  <si>
    <t>ATO 1  ·  Nv 1–15  ·  Twister (leveling)</t>
  </si>
  <si>
    <t>Árvore</t>
  </si>
  <si>
    <t>Nós de Twister/projétil perto do início da Huntress. É a única fase em que dano de ataque do jogador faz sentido.</t>
  </si>
  <si>
    <t>Rotação</t>
  </si>
  <si>
    <t>Whirling Slash até formar o redemoinho  →  Twister atravessando o redemoinho (fica maior e mais forte)  →  Parry para bloquear e contra-atacar bosses  →  Spear Throw para puxar de longe</t>
  </si>
  <si>
    <t>Evite</t>
  </si>
  <si>
    <t>Gastar pontos em minion agora · Comprar gear caro para o Twister: ele sai da barra no Ato 3</t>
  </si>
  <si>
    <t>Sai da fase quando</t>
  </si>
  <si>
    <t>• Rare spear com mais dano que cair</t>
  </si>
  <si>
    <t>• Kit de uniques baratos do Mattjestic: Splinter of Lorrata → Skysliver (spear), Foxshade (body), 2× Blackheart (anéis), Goldrim (capacete), Wanderlust (botas), Meginord's Girdle, Surefooted Sigil</t>
  </si>
  <si>
    <t>• Botas com Movement Speed</t>
  </si>
  <si>
    <t>• Todos custam poucos Exalts no trade e fazem o Ato 1–2 voar</t>
  </si>
  <si>
    <t>• Qualquer escudo/buckler com Evasion</t>
  </si>
  <si>
    <t>Prioridade de stats: Movement Speed &gt; Vida &gt; Resistências &gt; Dano da spear</t>
  </si>
  <si>
    <t>ATO 2  ·  Nv 16–30  ·  1ª Ascendência</t>
  </si>
  <si>
    <t>Ainda Twister, mas já caminhe para o lado de companion da árvore para o respec do Ato 3 ficar barato.</t>
  </si>
  <si>
    <t>Mesma rotação de Twister  →  O urso segura o aggro dos bosses</t>
  </si>
  <si>
    <t>Gastar todo o gold: o respec do Ato 3 é caro</t>
  </si>
  <si>
    <t>• Rare spear + botas com MS</t>
  </si>
  <si>
    <t>• Skysliver (spear) · Foxshade · 2× Blackheart · Goldrim · Wanderlust · Surefooted Sigil · Meginord's Girdle</t>
  </si>
  <si>
    <t>• Meginord's Girdle se faltar Strength</t>
  </si>
  <si>
    <t>• Comece a guardar para: Chober Chaber (~2 ex), Treefingers (~5 ex), Rattling Sceptre (qualquer), The Vertex versão 'Equipment' (~0,4 div)</t>
  </si>
  <si>
    <t>Prioridade de stats: Movement Speed &gt; Vida &gt; Resistências &gt; Spirit</t>
  </si>
  <si>
    <t>ATO 3  ·  Nv 31–45  ·  A troca: macaco + esqueletos</t>
  </si>
  <si>
    <t>Árvore do Mattjestic (Ato 3): Trusted Kinship, Bond of the Mamba, Bond of the Cat, Unspoken Bond, e defesa de Evasion (Blur, Catlike Agility, Escape Velocity). Zero nós de ataque.</t>
  </si>
  <si>
    <t>Entre no pack e deixe o macaco e o urso baterem  →  Unearth no chão: cria Bone Constructs e quebra Armour (Armour Break III)  →  Pain Offering em cima do boss (espeta um Skeletal Warrior): +velocidade e +dano para todos os minions por 6 s  →  Raise Shield se o boss for dar um golpe grande</t>
  </si>
  <si>
    <t>Matar o Silverfist antes de ter The Natural Order · Manter Twister/Whirling depois da troca · Ball Lightning / Lightning Warp: não fazem nada pelo macaco</t>
  </si>
  <si>
    <t>• Rattling Sceptre (main) + Trenchtimbre (offhand) — exatamente como o Mattjestic</t>
  </si>
  <si>
    <t>• Chober Chaber + Rattling Sceptre (com Treefingers dando Giant's Blood)</t>
  </si>
  <si>
    <t>• Midnight Braid (cinto) · Foxshade/Wanderlust/Blackheart mantidos</t>
  </si>
  <si>
    <t>• The Vertex versão 'Equipment has no Attribute Requirements' para zerar os requisitos triplicados</t>
  </si>
  <si>
    <t>• Enfolding Dawn (+100 Spirit no body) para caber mais minions</t>
  </si>
  <si>
    <t>Prioridade de stats: +Minion Skills &gt; Spirit &gt; Movement Speed &gt; Vida &gt; Resistências</t>
  </si>
  <si>
    <t>ATO 4  ·  Nv 46–55  ·  3 companions + chaos</t>
  </si>
  <si>
    <t>Árvore do Mattjestic (Ato 4): Easy Going, Inspiring Ally, Bond of the Wolf somam aos Bonds do Ato 3.</t>
  </si>
  <si>
    <t>Sniper's Mark no boss (com Mark for Death: quebra Armour)  →  Pain Offering em cima do boss  →  Unearth para mais corpos/Armour Break  →  Deixe o zoo bater</t>
  </si>
  <si>
    <t>Trocar Evergrasping Ring por rare de resist sem repor o chaos: o Wither perde sentido · Pegar nós de ataque para você</t>
  </si>
  <si>
    <t>• Rattling Sceptre + Trenchtimbre</t>
  </si>
  <si>
    <t>• Chober Chaber + Rattling Sceptre + Treefingers + The Vertex</t>
  </si>
  <si>
    <t>• Evergrasping Ring ×2 (aliados ganham 15–25% do dano como chaos)</t>
  </si>
  <si>
    <t>• Evergrasping Ring ×2 · Enfolding Dawn · Bushwhack</t>
  </si>
  <si>
    <t>• Enfolding Dawn (+100 Spirit) · Bushwhack (botas) · Midnight Braid</t>
  </si>
  <si>
    <t>• Primeiro Quill/Coconut Crab com Haste Aura</t>
  </si>
  <si>
    <t>• Charms contra bleed/ignite</t>
  </si>
  <si>
    <t>Prioridade de stats: +Minion Skills &gt; Spirit &gt; Vida &gt; Resistências &gt; Movement Speed</t>
  </si>
  <si>
    <t>INTERLÚDIOS  ·  Nv 56–64  ·  Esqueletos para o Muster</t>
  </si>
  <si>
    <t>Árvore do Mattjestic (Ato 5): adiciona Bond of the Owl.</t>
  </si>
  <si>
    <t>Vulnerability no pack/boss  →  Pain Offering  →  Deixe o zoo bater</t>
  </si>
  <si>
    <t>Colocar supports de dano nos esqueletos: eles existem para o Muster e para o Pain Offering · Entrar no Atlas com resists abaixo de 75%</t>
  </si>
  <si>
    <t>• Trenchtimbre na main-hand + Rattling Sceptre no offhand</t>
  </si>
  <si>
    <t>• Enfolding Dawn · Bushwhack · Evergrasping Ring ×2 · Meginord's Girdle</t>
  </si>
  <si>
    <t>• Enfolding Dawn · Bushwhack · Evergrasping Ring ×2</t>
  </si>
  <si>
    <t>• Capacete Runeforged (Elite Greathelm) para Runic Ward</t>
  </si>
  <si>
    <t>• Ventor's Gamble se sobrar dinheiro</t>
  </si>
  <si>
    <t>Prioridade de stats: +Minion Skills &gt; Spirit &gt; Vida &gt; Resistências (cap 75%) &gt; Movement Speed</t>
  </si>
  <si>
    <t>INÍCIO DO ATLAS  ·  Nv 65–77  ·  Catha's Balance + mapping</t>
  </si>
  <si>
    <t>Árvore do Mattjestic (Mapping T1-10): Sturdy Ally, Captivating Companionship, Sic 'Em, The Howling Primate, The Fabled Stag, Enhanced Reflexes.</t>
  </si>
  <si>
    <t>Despair no pack (tira resistência a chaos)  →  Sniper's Mark no boss  →  Pain Offering  →  Refutation antes de um golpe grande (gasta Runic Ward e bloqueia tudo)</t>
  </si>
  <si>
    <t>Julgar a arma pelo DPS: com Catha vale o dano por golpe (a Chober Chaber bate devagar e é a melhor) · Tirar os esqueletos antes do Effigy</t>
  </si>
  <si>
    <t>• Trenchtimbre + Rattling Sceptre até juntar para a Chober Chaber</t>
  </si>
  <si>
    <t>• Chober Chaber (Runeforged) + Rattling Sceptre + Treefingers + The Vertex</t>
  </si>
  <si>
    <t>• Evergrasping Ring ×2 · armaduras Runeforged (Runic Ward para o Refutation)</t>
  </si>
  <si>
    <t>• Sylvan's Effigy assim que tiver ~1 div (substitui o Rattling Sceptre)</t>
  </si>
  <si>
    <t>• Jewels: From Nothing · Undying Hate</t>
  </si>
  <si>
    <t>• From Nothing · Undying Hate</t>
  </si>
  <si>
    <t>Prioridade de stats: Dano base da main-hand (Catha) &gt; +Minion Skills &gt; Spirit &gt; Vida &gt; Resistências &gt; Runic Ward</t>
  </si>
  <si>
    <t>T15+ (EFFIGY)  ·  Nv 78–89  ·  Chober + Giant's Blood + Effigy</t>
  </si>
  <si>
    <t>Árvore do Mattjestic (Giant's Blood Endgame): Giant's Blood, Polymathy (atributos), Enduring/Avoiding Deflection, Long Distance Relationship, The Winter Owl.</t>
  </si>
  <si>
    <t>Mace Strike (Einhar's Beastrite) finalizando raros: rouba 2 modificadores por 300 s  →  Voltaic Mark no boss  →  Pain Offering (Brutus' Brain: o espinho não morre)  →  Refutation antes do golpe grande  →  O resto é automático</t>
  </si>
  <si>
    <t>Tirar Trusted Kinship · Pegar Idolatry enquanto depende de runas de resistência</t>
  </si>
  <si>
    <t>• Chober Chaber + Sylvan's Effigy</t>
  </si>
  <si>
    <t>• Mesmo set + Idolatry com Idols em tudo</t>
  </si>
  <si>
    <t>• Forgotten Warden · Lavianga's Spirits</t>
  </si>
  <si>
    <t>• Prism of Belief +2/+3 Tamed Companion</t>
  </si>
  <si>
    <t>• Spiteful Floret no weapon set 2 (Sanguine Revelry)</t>
  </si>
  <si>
    <t>• Morior Invictus se preferir tank</t>
  </si>
  <si>
    <t>• Jewels: Controlled Metamorphosis · Megalomaniac · From Nothing</t>
  </si>
  <si>
    <t>Prioridade de stats: Dano base da Chober Chaber &gt; +Minion Skills &gt; Spirit &gt; Evasion/Deflection &gt; Resistências &gt; Atributos (Giant's Blood triplica requisitos)</t>
  </si>
  <si>
    <t>ARBITER / MIN-MAX  ·  Nv 90–100  ·  Mind Over Matter + 27 companions</t>
  </si>
  <si>
    <t>Árvore do Mattjestic (Endgame Mapping): Mind Over Matter, The Soul Meridian, Beastial Skin, The Wild Cat, Lifelong Friend.</t>
  </si>
  <si>
    <t>Mace Strike finalizando raros  →  Voltaic Mark  →  Refutation  →  Deixe o zoo</t>
  </si>
  <si>
    <t>Mind Over Matter sem mana alta (Chober +100 mana, Lavianga's)</t>
  </si>
  <si>
    <t>• Setup do T15 + Mind Over Matter (Lavianga's Spirits sustenta)</t>
  </si>
  <si>
    <t>• Mageblood · Kalandra's Touch · Rite of Passage</t>
  </si>
  <si>
    <t>• Charms: The Fall of the Axe · Nascent Hope · Beira's Anguish</t>
  </si>
  <si>
    <t>• Runeforged Pariah Mask · Drakeskin Boots · Barbed Bracers (rares/runeforged do Mattjestic)</t>
  </si>
  <si>
    <t>• Variante 12m: Morior Invictus + 2× Chober Chaber (weapon swap)</t>
  </si>
  <si>
    <t>Prioridade de stats: Mana (Mind Over Matter) &gt; +Minion Skills &gt; Spirit &gt; Evasion/Deflection &gt; Resistências</t>
  </si>
  <si>
    <t>SKILLS &amp; SUPPORTS — rota Chober Chaber (Mattjestic)</t>
  </si>
  <si>
    <t>Filtre a coluna Fase. Coluna J explica cada skill; no fim da aba, o que cada support faz.</t>
  </si>
  <si>
    <t>Skill</t>
  </si>
  <si>
    <t>Set</t>
  </si>
  <si>
    <t>Support 1</t>
  </si>
  <si>
    <t>Support 2</t>
  </si>
  <si>
    <t>Support 3</t>
  </si>
  <si>
    <t>Support 4</t>
  </si>
  <si>
    <t>Support 5</t>
  </si>
  <si>
    <t>Função</t>
  </si>
  <si>
    <t>Por que está na build</t>
  </si>
  <si>
    <t>Twister</t>
  </si>
  <si>
    <t>Retreat III</t>
  </si>
  <si>
    <t>Elemental Armament III</t>
  </si>
  <si>
    <t>Projectile Acceleration I</t>
  </si>
  <si>
    <t>Dano principal</t>
  </si>
  <si>
    <t>Twister é a skill de leveling mais rápida da Huntress: redemoinhos que atravessam packs inteiros.</t>
  </si>
  <si>
    <t>Whirling Slash</t>
  </si>
  <si>
    <t>Rapid Attacks I</t>
  </si>
  <si>
    <t>Rage II</t>
  </si>
  <si>
    <t>Cria o redemoinho</t>
  </si>
  <si>
    <t>Cada Whirling Slash cria/aumenta um redemoinho; o Twister disparado por dentro dele ganha dano e tamanho.</t>
  </si>
  <si>
    <t>Herald of Ice</t>
  </si>
  <si>
    <t>Cold Attunement</t>
  </si>
  <si>
    <t>Concentrated Area</t>
  </si>
  <si>
    <t>Clear extra</t>
  </si>
  <si>
    <t>Inimigos congelados explodem e limpam o resto do pack sem apertar nada.</t>
  </si>
  <si>
    <t>Parry</t>
  </si>
  <si>
    <t>Defesa ativa</t>
  </si>
  <si>
    <t>Bloqueia o próximo golpe e deixa o inimigo vulnerável: salva de bosses do Ato 1–2.</t>
  </si>
  <si>
    <t>Spear Throw</t>
  </si>
  <si>
    <t>Puxar de longe</t>
  </si>
  <si>
    <t>Vem da própria spear; útil para puxar packs.</t>
  </si>
  <si>
    <t>Wild Protector</t>
  </si>
  <si>
    <t>Asc.</t>
  </si>
  <si>
    <t>Magnified Area I</t>
  </si>
  <si>
    <t>Tank + dano extra</t>
  </si>
  <si>
    <t>O urso não conta no limite de companions: é um minion grátis que segura bosses e dá Intimidate.</t>
  </si>
  <si>
    <t>Continua sendo o dano até capturar o macaco.</t>
  </si>
  <si>
    <t>Bleed I</t>
  </si>
  <si>
    <t>Redemoinho</t>
  </si>
  <si>
    <t>Bleed no Whirling ajuda nos bosses.</t>
  </si>
  <si>
    <t>Continua útil até o Ato 3.</t>
  </si>
  <si>
    <t>Vem da spear.</t>
  </si>
  <si>
    <t>Tame Beast (Mighty Silverfist)</t>
  </si>
  <si>
    <t>Feeding Frenzy II</t>
  </si>
  <si>
    <t>Heft</t>
  </si>
  <si>
    <t>CARRY</t>
  </si>
  <si>
    <t>O macaco é o dano da build inteira: bate físico em área, muito rápido, com 25% de chance de crítico base. Tudo abaixo existe para deixá-lo mais forte ou mais vivo.</t>
  </si>
  <si>
    <t>Tank</t>
  </si>
  <si>
    <t>Segura o aggro e conta como mais um TIPO de minion para o Muster.</t>
  </si>
  <si>
    <t>Skeletal Warrior</t>
  </si>
  <si>
    <t>Sacrificial Lamb I</t>
  </si>
  <si>
    <t>Meat Shield I</t>
  </si>
  <si>
    <t>Combustível do Pain Offering</t>
  </si>
  <si>
    <t>Vem do Rattling Sceptre e os 2 primeiros não reservam Spirit. Não é para dar dano: é o esqueleto que o Pain Offering espeta. Sacrificial Lamb garante que ele seja escolhido e Meat Shield mantém ele vivo.</t>
  </si>
  <si>
    <t>Pain Offering</t>
  </si>
  <si>
    <t>Danse Macabre</t>
  </si>
  <si>
    <t>Prolonged Duration II</t>
  </si>
  <si>
    <t>Buff de dano dos minions</t>
  </si>
  <si>
    <t>Espeta um esqueleto: minions a até 6 m ganham até +29% attack speed e +58% dano. Com Danse Macabre (2 esqueletos) o buff fica 30% mais forte. Não custa Spirit, só mana.</t>
  </si>
  <si>
    <t>Unearth</t>
  </si>
  <si>
    <t>Armour Break III</t>
  </si>
  <si>
    <t>Quebra de Armour + corpos</t>
  </si>
  <si>
    <t>Spell sua que cria Bone Constructs dos corpos e, com Armour Break III, tira Armour do inimigo: o macaco passa a bater o dano físico inteiro.</t>
  </si>
  <si>
    <t>Raise Shield</t>
  </si>
  <si>
    <t>Bloqueia tudo enquanto segura. Precisa de escudo ou de um item que permita (substitui o Parry).</t>
  </si>
  <si>
    <t>Tame Beast (2º beast: aura)</t>
  </si>
  <si>
    <t>Last Gasp</t>
  </si>
  <si>
    <t>Loyalty</t>
  </si>
  <si>
    <t>Aura bot</t>
  </si>
  <si>
    <t>Segundo companion permitido pelo Trusted Kinship. Escolha pelo modificador de aura (Haste/Physical), não pelo dano. Last Gasp mantém a aura viva, Loyalty faz ele tomar parte do seu dano.</t>
  </si>
  <si>
    <t>Tame Beast (vazia)</t>
  </si>
  <si>
    <t>Captura</t>
  </si>
  <si>
    <t>Deixe uma gem de Tame Beast livre para capturar o próximo beast com mod bom.</t>
  </si>
  <si>
    <t>Só até capturar</t>
  </si>
  <si>
    <t>Tire da barra no respec.</t>
  </si>
  <si>
    <t>Rapid Attacks II</t>
  </si>
  <si>
    <t>Rapid Attacks sobe para II: mais golpes por segundo.</t>
  </si>
  <si>
    <t>Tank + Armour Break</t>
  </si>
  <si>
    <t>O urso também passa a quebrar Armour, somando com o Unearth.</t>
  </si>
  <si>
    <t>Amanamu's Tithe</t>
  </si>
  <si>
    <t>Combustível</t>
  </si>
  <si>
    <t>Amanamu's Tithe: cada esqueleto que morre pode te dar um modificador Abyssal por 20 s.</t>
  </si>
  <si>
    <t>Buff de dano</t>
  </si>
  <si>
    <t>Continua sendo o botão de boss.</t>
  </si>
  <si>
    <t>Withering Presence</t>
  </si>
  <si>
    <t>Wither em área</t>
  </si>
  <si>
    <t>Inimigos na sua Presence recebem Wither (mais dano de chaos). Sozinha seria fraca, mas com Evergrasping Ring o zoo inteiro bate chaos extra.</t>
  </si>
  <si>
    <t>Sniper's Mark</t>
  </si>
  <si>
    <t>Mark for Death</t>
  </si>
  <si>
    <t>Marca o boss</t>
  </si>
  <si>
    <t>Mark for Death faz os hits no alvo marcado quebrarem Armour.</t>
  </si>
  <si>
    <t>Prolonged Duration I</t>
  </si>
  <si>
    <t>Corpos + controle</t>
  </si>
  <si>
    <t>Bone Constructs duram mais.</t>
  </si>
  <si>
    <t>Aura de Haste/Physical.</t>
  </si>
  <si>
    <t>Tame Beast (3º beast)</t>
  </si>
  <si>
    <t>Aura bot / captura</t>
  </si>
  <si>
    <t>Vaga para o próximo beast (Quill Crab e Coconut Crab aparecem no Whakapanu Island, Ato 4, e custam só ~25% de Spirit).</t>
  </si>
  <si>
    <t>Bloqueio.</t>
  </si>
  <si>
    <t>Muster</t>
  </si>
  <si>
    <t>Entra o 5º support: Muster. Com urso + macaco + aura bots + 5 tipos de esqueleto, são ~9 tipos → ~+63% more dano.</t>
  </si>
  <si>
    <t>Minion Splash II</t>
  </si>
  <si>
    <t>Tank + área</t>
  </si>
  <si>
    <t>Minion Splash: o urso acerta o pack todo.</t>
  </si>
  <si>
    <t>Sacrificial Lamb II</t>
  </si>
  <si>
    <t>Sacrificial Lamb II (6 m).</t>
  </si>
  <si>
    <t>Skeletal Frost Mage</t>
  </si>
  <si>
    <t>Tipo extra (Muster)</t>
  </si>
  <si>
    <t>Não use supports: está aqui para contar como mais um tipo de minion.</t>
  </si>
  <si>
    <t>Skeletal Arsonist</t>
  </si>
  <si>
    <t>Mais um tipo de minion para o Muster.</t>
  </si>
  <si>
    <t>Skeletal Sniper</t>
  </si>
  <si>
    <t>Mais um tipo. Reserva pouco Spirit no nível alto (30 no nv 20).</t>
  </si>
  <si>
    <t>Skeletal Reaver</t>
  </si>
  <si>
    <t>Mais um tipo; também quebra Armour.</t>
  </si>
  <si>
    <t>Vulnerability</t>
  </si>
  <si>
    <t>Heightened Curse</t>
  </si>
  <si>
    <t>Curse</t>
  </si>
  <si>
    <t>Inimigos amaldiçoados ignoram parte da Armour: o macaco (físico) bate cheio.</t>
  </si>
  <si>
    <t>Com vários esqueletos, sempre há 2 para o Danse Macabre.</t>
  </si>
  <si>
    <t>Wither</t>
  </si>
  <si>
    <t>Continua com Evergrasping Ring.</t>
  </si>
  <si>
    <t>Aura.</t>
  </si>
  <si>
    <t>Tame Beast (Mighty Silverfist → Zekoa)</t>
  </si>
  <si>
    <t>Rage III</t>
  </si>
  <si>
    <t>Com a Catha, cada golpe do macaco ganha 60% do dano da Chober Chaber. Rage III e Rapid Attacks II = mais golpes; Heft = golpes maiores.</t>
  </si>
  <si>
    <t>Minion Mastery</t>
  </si>
  <si>
    <t>Também recebe a Catha's Balance.</t>
  </si>
  <si>
    <t>Continua vindo do Rattling Sceptre.</t>
  </si>
  <si>
    <t>Sacrificial Offering</t>
  </si>
  <si>
    <t>Sacrificial Offering: sacrifica 15% da sua vida por +30% efeito e 30% more dano.</t>
  </si>
  <si>
    <t>Tipo de minion para o Muster.</t>
  </si>
  <si>
    <t>Skeletal Cleric</t>
  </si>
  <si>
    <t>Cura + revive esqueletos</t>
  </si>
  <si>
    <t>Revive os esqueletos que o Pain Offering consome e cura o zoo. Também é esqueleto: serve de alvo do Pain Offering.</t>
  </si>
  <si>
    <t>Despair</t>
  </si>
  <si>
    <t>Rapid Casting I</t>
  </si>
  <si>
    <t>Curse de chaos</t>
  </si>
  <si>
    <t>Tira até 49% de resistência a chaos: o chaos do Evergrasping Ring bate muito mais.</t>
  </si>
  <si>
    <t>Meat Shield: ele só precisa sobreviver com a aura.</t>
  </si>
  <si>
    <t>Marca</t>
  </si>
  <si>
    <t>Quebra Armour do alvo.</t>
  </si>
  <si>
    <t>Refutation</t>
  </si>
  <si>
    <t>Cooldown Recovery II</t>
  </si>
  <si>
    <t>Efficiency II</t>
  </si>
  <si>
    <t>Rapid Casting II</t>
  </si>
  <si>
    <t>Gasta todo o seu Runic Ward para bloquear TODOS os hits por um tempo. Runic Ward vem de itens Runeforged/Runemastered — por isso o Mattjestic usa armaduras Runeforged.</t>
  </si>
  <si>
    <t>Tame Beast (Zekoa, the Headcrusher)</t>
  </si>
  <si>
    <t>A versão de Atlas do Silverfist (mapas Riverside/Rupture) pode ter mais modificadores.</t>
  </si>
  <si>
    <t>Azmerian Wolf</t>
  </si>
  <si>
    <t>Effigy</t>
  </si>
  <si>
    <t>Hulking Minions</t>
  </si>
  <si>
    <t>2º dano</t>
  </si>
  <si>
    <t>Vem do Sylvan's Effigy. Hulking Minions deixa o lobo Gigantic (mais vida e dano).</t>
  </si>
  <si>
    <t>Romira's Requital</t>
  </si>
  <si>
    <t>Catha's Brilliance</t>
  </si>
  <si>
    <t>Tank + sustain</t>
  </si>
  <si>
    <t>Romira's Requital: o urso toma 10% do seu dano e você recupera 200% disso como vida. Catha's Brilliance: blind + ignite em volta dele.</t>
  </si>
  <si>
    <t>Spirit Vessel</t>
  </si>
  <si>
    <t>Furious Slam</t>
  </si>
  <si>
    <t>Arctic Howl</t>
  </si>
  <si>
    <t>Companion grátis</t>
  </si>
  <si>
    <t>Vem do Forgotten Warden. Furious Slam (Bear) e Arctic Howl (Werewolf) socketados: +20% more dano por skill diferente.</t>
  </si>
  <si>
    <t>Wolf Pack</t>
  </si>
  <si>
    <t>Withering Touch</t>
  </si>
  <si>
    <t>Corpos + Wither</t>
  </si>
  <si>
    <t>Vários lobos contam como um companion. Withering Touch aplica Wither para o chaos.</t>
  </si>
  <si>
    <t>Brutus' Brain</t>
  </si>
  <si>
    <t>Brutus' Brain: o espinho não pode ser destruído, então o buff nunca cai.</t>
  </si>
  <si>
    <t>Tecrod's Revenge</t>
  </si>
  <si>
    <t>Meat Shield II</t>
  </si>
  <si>
    <t>Elemental Army</t>
  </si>
  <si>
    <t>Alvo do Pain Offering</t>
  </si>
  <si>
    <t>Sem Rattling Sceptre, o Cleric é o esqueleto espetado (Sacrificial Lamb II). Tecrod's Revenge mantém ele lutando 20 s depois de morrer.</t>
  </si>
  <si>
    <t>Voltaic Mark</t>
  </si>
  <si>
    <t>Eternal Mark</t>
  </si>
  <si>
    <t>Mark for Death II</t>
  </si>
  <si>
    <t>Eternal Mark: não é consumida na primeira ativação. Mark for Death II: quebra Armour.</t>
  </si>
  <si>
    <t>Mace Strike</t>
  </si>
  <si>
    <t>Einhar's Beastrite</t>
  </si>
  <si>
    <t>Culling Strike II</t>
  </si>
  <si>
    <t>Magnified Area II</t>
  </si>
  <si>
    <t>Rouba modificadores</t>
  </si>
  <si>
    <t>Vem da Chober Chaber. Não é dano: só finaliza inimigos com vida baixa, e cada raro finalizado te dá 2 modificadores dele (Haste, Extra Damage…) por 5 minutos.</t>
  </si>
  <si>
    <t>Tame Beast (auras ×3)</t>
  </si>
  <si>
    <t>Aura bots</t>
  </si>
  <si>
    <t>3 beasts de aura (Haste/Physical/ES/Invulnerability). No Tier-list do Mattjestic: Quill/Coconut Crab (24,9%), Swarming Wisp (21%), Crag Leaper (23,1%).</t>
  </si>
  <si>
    <t>Discipline</t>
  </si>
  <si>
    <t>Aura de ES</t>
  </si>
  <si>
    <t>Vem do Effigy.</t>
  </si>
  <si>
    <t>Sanguine Revelry</t>
  </si>
  <si>
    <t>Rage + vida</t>
  </si>
  <si>
    <t>Vem do Spiteful Floret no weapon set 2: Remnants de inimigos com bleed dão Rage e vida.</t>
  </si>
  <si>
    <t>Mobility</t>
  </si>
  <si>
    <t>Mobility: pode andar enquanto o buff está ativo.</t>
  </si>
  <si>
    <t>CARRY (bossing)</t>
  </si>
  <si>
    <t>Setup de boss. Para mapear, troque Heft/Feeding Frenzy/Rapid Attacks por Minion Splash II + Infernal Legion I + Tecrod's Revenge (dano em área).</t>
  </si>
  <si>
    <t>Loyalty no lugar de Hulking Minions: menos Spirit.</t>
  </si>
  <si>
    <t>Romira's Requital continua sendo a maior fonte de vida.</t>
  </si>
  <si>
    <t>Devour</t>
  </si>
  <si>
    <t>Oil Barrage</t>
  </si>
  <si>
    <t>Salvo</t>
  </si>
  <si>
    <t>Living Lightning II</t>
  </si>
  <si>
    <t>4 skills diferentes socketadas = +80% more dano do Vessel.</t>
  </si>
  <si>
    <t>Infernal Legion I</t>
  </si>
  <si>
    <t>Corpos + Wither + buffs</t>
  </si>
  <si>
    <t>Amanamu's Tithe: lobos morrendo te dão modificadores Abyssal.</t>
  </si>
  <si>
    <t>Tame Beast (auras ×5)</t>
  </si>
  <si>
    <t>Setup 100% defensivo: só precisam manter a aura viva.</t>
  </si>
  <si>
    <t>Igual ao T15.</t>
  </si>
  <si>
    <t>Rapid Attacks III</t>
  </si>
  <si>
    <t>Upwelling II</t>
  </si>
  <si>
    <t>Vem do Spiteful Floret.</t>
  </si>
  <si>
    <t>O QUE CADA SUPPORT FAZ E POR QUE USAR</t>
  </si>
  <si>
    <t>Quando um minion deste skill morre, 50% de chance de VOCÊ ganhar um modificador Abyssal por 20 s (até 3). Esqueletos morrem o tempo todo → buffs grátis.</t>
  </si>
  <si>
    <t>Skill de Werewolf socketada no Spirit Vessel: congela e dá dano de frio aos aliados.</t>
  </si>
  <si>
    <t>Armour Break I</t>
  </si>
  <si>
    <t>Quebra de Armour inicial.</t>
  </si>
  <si>
    <t>Os golpes quebram Armour dos inimigos. Inimigo sem Armour recebe o dano físico inteiro do macaco.</t>
  </si>
  <si>
    <t>Chance de Bleed no Whirling Slash (leveling).</t>
  </si>
  <si>
    <t>Brutality I</t>
  </si>
  <si>
    <t>Mais dano físico (leveling).</t>
  </si>
  <si>
    <t>O minion não recebe nem causa dano. No Pain Offering: o espinho não pode ser destruído, então o buff nunca cai no meio do boss.</t>
  </si>
  <si>
    <t>Inimigos perto do urso ficam Blind (erram mais) e pegam Ignite baseado na vida do urso.</t>
  </si>
  <si>
    <t>Clarity I</t>
  </si>
  <si>
    <t>Regeneração de mana.</t>
  </si>
  <si>
    <t>Herald of Ice com mais dano de frio (leveling).</t>
  </si>
  <si>
    <t>Área menor, dano maior (leveling).</t>
  </si>
  <si>
    <t>Recarga mais rápida (mark/Refutation disponível mais vezes).</t>
  </si>
  <si>
    <t>Executa inimigos com vida baixa — casa com o Einhar's Beastrite, que só finaliza.</t>
  </si>
  <si>
    <t>Pain Offering espeta 2 esqueletos: +30% efeito do buff e 30% more dano. Precisa ter 2 esqueletos disponíveis.</t>
  </si>
  <si>
    <t>Skill de Wyvern socketada no Spirit Vessel (versão endgame).</t>
  </si>
  <si>
    <t>Dialla's Desire</t>
  </si>
  <si>
    <t>+1 nível e +5% qualidade na gem, e menos custo/reserva. Upgrade genérico de luxo.</t>
  </si>
  <si>
    <t>Menos custo de mana.</t>
  </si>
  <si>
    <t>O Mace Strike só consegue matar inimigos com vida baixa, mas cada raro que ele finaliza te dá 2 modificadores dele por 300 s (ex.: Haste, Extra Damage). Não é dano: é roubar buffs.</t>
  </si>
  <si>
    <t>Twister: dano elemental extra (leveling).</t>
  </si>
  <si>
    <t>+30% resistências elementais para os minions. Aura bots morrem menos para dano elemental no endgame.</t>
  </si>
  <si>
    <t>A mark não é consumida na primeira ativação: fica no boss por mais tempo.</t>
  </si>
  <si>
    <t>Feeding Frenzy I</t>
  </si>
  <si>
    <t>Versão menor do Feeding Frenzy (menos dano, menos risco). Usado no Wolf Pack.</t>
  </si>
  <si>
    <t>Minions causam 30% more dano e recebem 15% more dano. Só no companion de dano; nos de aura, não.</t>
  </si>
  <si>
    <t>Fire Attunement</t>
  </si>
  <si>
    <t>Mais dano de fogo (leveling minion).</t>
  </si>
  <si>
    <t>Fortress I</t>
  </si>
  <si>
    <t>Flame Wall mais resistente (leveling minion).</t>
  </si>
  <si>
    <t>Skill de Bear socketada no Spirit Vessel: o Vessel vira urso e dá slams. Cada skill diferente socketada = +20% more dano do Vessel.</t>
  </si>
  <si>
    <t>30% more dano físico MÁXIMO dos hits. O macaco bate físico e com a Chober Chaber o dano por golpe é enorme — Heft multiplica justamente o topo do dano.</t>
  </si>
  <si>
    <t>+25% magnitude da curse (Despair/Vulnerability tiram mais resistência/Armour).</t>
  </si>
  <si>
    <t>Her Declaration</t>
  </si>
  <si>
    <t>Inimigos que entram na sua Presence ficam Intimidated (recebem mais dano). Custa 30 Spirit extra.</t>
  </si>
  <si>
    <t>Minion Gigantic: maior, mais vida e dano, mas custa bem mais Spirit.</t>
  </si>
  <si>
    <t>Minion e inimigos próximos pegam Ignite pela vida do minion (o minion toma dano de fogo). Dano de área extra.</t>
  </si>
  <si>
    <t>Infernal Legion II</t>
  </si>
  <si>
    <t>Versão mais forte do Infernal Legion.</t>
  </si>
  <si>
    <t>O minion continua lutando 4 s depois de morrer. Mantém a aura do companion ativa por mais tempo.</t>
  </si>
  <si>
    <t>Life Leech III</t>
  </si>
  <si>
    <t>Leech de 16% do dano físico como vida (no companion).</t>
  </si>
  <si>
    <t>Skill socketada no Spirit Vessel.</t>
  </si>
  <si>
    <t>10% do dano que VOCÊ levaria vai para o companion (que perde 30% da vida). Nos companions de aura: eles viram escudo seu.</t>
  </si>
  <si>
    <t>+área nos golpes do urso. Barato e útil para limpar packs no início.</t>
  </si>
  <si>
    <t>Mais área (usado no Mace Strike e no urso).</t>
  </si>
  <si>
    <t>Hits no alvo marcado quebram Armour (10% do dano físico). Marca o boss e o macaco bate em alvo sem Armour.</t>
  </si>
  <si>
    <t>Versão mais forte do Mark for Death.</t>
  </si>
  <si>
    <t>Minion recebe menos dano e causa menos. Usado em quem só precisa sobreviver (esqueleto combustível, aura bot).</t>
  </si>
  <si>
    <t>Minion recebe 40% less dano e causa 40% less. Perfeito para companion de aura: você quer a aura viva, não o dano dele.</t>
  </si>
  <si>
    <t>Minion Instability</t>
  </si>
  <si>
    <t>Minion explode com 15% da vida máxima ao ficar com vida baixa. Wolf Pack vira bombas.</t>
  </si>
  <si>
    <t>+1 nível na gem do minion. Mais vida e dano sem custo extra.</t>
  </si>
  <si>
    <t>Minion ganha Melee Splash e +20% área: o golpe do urso/macaco acerta o pack inteiro.</t>
  </si>
  <si>
    <t>Pode se mover enquanto usa a skill.</t>
  </si>
  <si>
    <t>Multishot I</t>
  </si>
  <si>
    <t>Mais projéteis (leveling minion).</t>
  </si>
  <si>
    <t>Multishot II</t>
  </si>
  <si>
    <t>7% more dano para cada TIPO diferente de minion que revive (urso, macaco, cada esqueleto, wolf…). É por isso que a build tem vários tipos de esqueleto: cada tipo aumenta o dano do macaco.</t>
  </si>
  <si>
    <t>Skill de Wyvern socketada no Spirit Vessel.</t>
  </si>
  <si>
    <t>Profanity I</t>
  </si>
  <si>
    <t>Contagion com mais chaos (leveling minion).</t>
  </si>
  <si>
    <t>Twister mais rápido (leveling).</t>
  </si>
  <si>
    <t>Mais duração no início.</t>
  </si>
  <si>
    <t>35% more duração: o buff do Pain Offering / a curse / a mark duram mais.</t>
  </si>
  <si>
    <t>Rage I</t>
  </si>
  <si>
    <t>Versão inicial do Rage.</t>
  </si>
  <si>
    <t>Versão de campanha do Rage: attack speed enquanto acumula Rage.</t>
  </si>
  <si>
    <t>O minion ganha Rage ao bater e ataca bem mais rápido enquanto não está no máximo de Rage.</t>
  </si>
  <si>
    <t>Attack speed para o companion no início.</t>
  </si>
  <si>
    <t>+25% attack speed. Mais golpes = mais dano da Catha's Balance (60% da sua arma por golpe).</t>
  </si>
  <si>
    <t>Versão mais forte do Rapid Attacks.</t>
  </si>
  <si>
    <t>Conjura mais rápido (curse sai antes).</t>
  </si>
  <si>
    <t>Conjura mais rápido.</t>
  </si>
  <si>
    <t>Twister: dano extra enquanto você se afasta (leveling).</t>
  </si>
  <si>
    <t>10% do dano dos hits vai para o urso e você RECUPERA 200% disso como vida. Defesa enorme de graça.</t>
  </si>
  <si>
    <t>Suas skills que miram minions (Pain Offering) escolhem ESTE esqueleto primeiro. Garante que o espinho nunca pegue o macaco ou o urso.</t>
  </si>
  <si>
    <t>Mesma função com alcance de 6 m e o minion sempre conta como detonável.</t>
  </si>
  <si>
    <t>O Pain Offering sacrifica 15% da sua vida, mas o buff fica 30% mais forte e causa 30% more dano.</t>
  </si>
  <si>
    <t>Seraph's Heart</t>
  </si>
  <si>
    <t>20% de chance de o inimigo calcular o hit como se suas resistências fossem 90%. Defesa de luxo (45 Spirit extra).</t>
  </si>
  <si>
    <t>O minion luta 20 s depois de morrer, ganha Soul Eater e +40% velocidade. No Skeletal Cleric: ele continua curando e servindo de alvo do Pain Offering.</t>
  </si>
  <si>
    <t>Upwelling I</t>
  </si>
  <si>
    <t>Melhora a regeneração ligada à aura.</t>
  </si>
  <si>
    <t>Melhora a regeneração/recarga ligada à aura.</t>
  </si>
  <si>
    <t>Uul-Netol's Embrace</t>
  </si>
  <si>
    <t>40% do dano físico vira EXTRA como chaos, e o chaos quebra Armour. Multiplica o macaco com Wither.</t>
  </si>
  <si>
    <t>Chance de aplicar Wither (inimigo recebe mais dano de chaos). Combina com Evergrasping Ring e Uul-Netol's Embrace, que dão dano de chaos.</t>
  </si>
  <si>
    <t>GEAR — do barato ao completo</t>
  </si>
  <si>
    <t>Barato = poucos Exalts no trade · Valor = bom custo-benefício · Completo = build como deve ser. Preços variam: use as faixas.</t>
  </si>
  <si>
    <t>Slot</t>
  </si>
  <si>
    <t>Valor</t>
  </si>
  <si>
    <t>Prioridade de affix</t>
  </si>
  <si>
    <t>Nota</t>
  </si>
  <si>
    <t>Main-hand</t>
  </si>
  <si>
    <t>Campanha: spear rare. Ato 3: Trenchtimbre. Nv 65: Tyranny's Grip Runeforged (~0,003 div)</t>
  </si>
  <si>
    <t>Tyranny's Grip Runemastered (~0,41 div) ou Trenchtimbre Runeforged</t>
  </si>
  <si>
    <t>Chober Chaber Runeforged + Giant's Blood (Treefingers/keystone) + The Vertex</t>
  </si>
  <si>
    <t>Dano por golpe (min–max) &gt; +Strength &gt; qualquer coisa</t>
  </si>
  <si>
    <t>Catha's Balance: companions ganham 60% do dano da main-hand. 32% dos zoos com Effigy usam maça de 2 mãos + sceptre.</t>
  </si>
  <si>
    <t>Offhand</t>
  </si>
  <si>
    <t>Campanha: escudo. Ato 3+: sceptre rare com Spirit</t>
  </si>
  <si>
    <t>Sylvan's Effigy (~0,95 div) com Primate Idol + Rabbit Idol</t>
  </si>
  <si>
    <t>Sylvan's Effigy com Primate + Rabbit Idol</t>
  </si>
  <si>
    <t>Spirit &gt; +Minion Skills &gt; buffs de companion</t>
  </si>
  <si>
    <t>Com ~1 div o Effigy entra logo no início do Atlas.</t>
  </si>
  <si>
    <t>Capacete</t>
  </si>
  <si>
    <t>Vida + resists + Evasion</t>
  </si>
  <si>
    <t>+1/+2 Minion Skills com Idol of Ralakesh, ou Alpha's Howl (+100 Spirit) se faltar reserva</t>
  </si>
  <si>
    <t>+2 Minion Skills com Idol of Ralakesh, ou The Vertex para a Chober Chaber</t>
  </si>
  <si>
    <t>Minion Skills; vida; resist; Evasion→Deflection</t>
  </si>
  <si>
    <t>Starkonja's Head é defesa barata na campanha.</t>
  </si>
  <si>
    <t>Body Armour</t>
  </si>
  <si>
    <t>Evasion + vida + resists</t>
  </si>
  <si>
    <t>Forgotten Warden (~0,21 div) com Fox Idol</t>
  </si>
  <si>
    <t>Forgotten Warden Runemastered ou Morior Invictus (~6 div)</t>
  </si>
  <si>
    <t>Evasion; Deflection; vida; resist</t>
  </si>
  <si>
    <t>Forgotten Warden em 80% dos zoos: vida do zoo + Spirit Vessel grátis.</t>
  </si>
  <si>
    <t>Luvas</t>
  </si>
  <si>
    <t>Vida/resists/atributos</t>
  </si>
  <si>
    <t>Treefingers (Giant's Blood) se usar maça de 2 mãos</t>
  </si>
  <si>
    <t>Rare de Evasion/Deflection, Horror's Flight, ou Carved Majesty nas luvas</t>
  </si>
  <si>
    <t>Vida; resist; atributos</t>
  </si>
  <si>
    <t>Dano de player aqui é desperdício.</t>
  </si>
  <si>
    <t>Botas</t>
  </si>
  <si>
    <t>10–20% MS (campanha), 25% no Ato 4</t>
  </si>
  <si>
    <t>30% MS + vida + resist</t>
  </si>
  <si>
    <t>30% MS + Evasion/Deflection + resists</t>
  </si>
  <si>
    <t>Movement Speed SEMPRE primeiro</t>
  </si>
  <si>
    <t>Idol filler aqui já conta para a Idolatry.</t>
  </si>
  <si>
    <t>Amuleto</t>
  </si>
  <si>
    <t>Atributos / resists</t>
  </si>
  <si>
    <t>+Minion Skills + atributos</t>
  </si>
  <si>
    <t>+2/+3 Minion Skills + anoint Warlord Leader</t>
  </si>
  <si>
    <t>Minion Skills; atributos; resist</t>
  </si>
  <si>
    <t>Anéis</t>
  </si>
  <si>
    <t>Ventor's Gamble com resists positivas (+vida +Spirit)</t>
  </si>
  <si>
    <t>Kalandra's Touch copiando um rare perfeito</t>
  </si>
  <si>
    <t>Cap de resist; atributos</t>
  </si>
  <si>
    <t>Anéis são o lugar mais barato para fechar resist.</t>
  </si>
  <si>
    <t>Cinto</t>
  </si>
  <si>
    <t>Meginord's Girdle (Strength + frio) ou raro vida/resist</t>
  </si>
  <si>
    <t>Rare vida/resist ou Darkness Enthroned (Idols)</t>
  </si>
  <si>
    <t>Darkness Enthroned · Mageblood (luxo)</t>
  </si>
  <si>
    <t>Darkness Enthroned é CINTO (a planilha antiga dizia capacete).</t>
  </si>
  <si>
    <t>Jewels</t>
  </si>
  <si>
    <t>Emerald: Companion dano/vida; Sapphire: Minion +% Elemental Res</t>
  </si>
  <si>
    <t>From Nothing (~0,21 div) + Sapphires de minion crit</t>
  </si>
  <si>
    <t>From Nothing + Prism of Belief +2/+3 + Megalomaniac/Heart of the Well</t>
  </si>
  <si>
    <t>Minion crit/dano &gt; attack speed &gt; resist de minion</t>
  </si>
  <si>
    <t>Prism de roll ruim não vale só por ser unique.</t>
  </si>
  <si>
    <t>Charms</t>
  </si>
  <si>
    <t>Beira's Anguish · Sanguis Heroum · Arakaali's Gift (todos &lt; 0,02 div)</t>
  </si>
  <si>
    <t>Nascent Hope · The Fall of the Axe</t>
  </si>
  <si>
    <t>Rite of Passage (luxo)</t>
  </si>
  <si>
    <t>Cobrir Burn / Poison / Bleed</t>
  </si>
  <si>
    <t>Com muita Evasion/Deflection, DoT é o que mata.</t>
  </si>
  <si>
    <t>Flasks</t>
  </si>
  <si>
    <t>Maior cura no menor tempo</t>
  </si>
  <si>
    <t>Lavianga's Spirits (mana constante)</t>
  </si>
  <si>
    <t>Lavianga's Spirits + life flask de recuperação instantânea</t>
  </si>
  <si>
    <t>Cura rápida</t>
  </si>
  <si>
    <t>ORDEM DE COMPRA — onde gastar primeiro</t>
  </si>
  <si>
    <t>#</t>
  </si>
  <si>
    <t>Item</t>
  </si>
  <si>
    <t>Custo</t>
  </si>
  <si>
    <t>Impacto</t>
  </si>
  <si>
    <t>Kit de leveling (Foxshade, Blackheart ×2, Goldrim, Wanderlust)</t>
  </si>
  <si>
    <t>Campanha rápida</t>
  </si>
  <si>
    <t>Troca para minion</t>
  </si>
  <si>
    <t>Chober Chaber + Treefingers</t>
  </si>
  <si>
    <t>Barato (~7 ex)</t>
  </si>
  <si>
    <t>O centro da build</t>
  </si>
  <si>
    <t>The Vertex (versão Equipment)</t>
  </si>
  <si>
    <t>Valor (~0,4 div)</t>
  </si>
  <si>
    <t>Libera a Chober com sceptre</t>
  </si>
  <si>
    <t>Enfolding Dawn (+100 Spirit)</t>
  </si>
  <si>
    <t>Mais minions</t>
  </si>
  <si>
    <t>Evergrasping Ring ×2</t>
  </si>
  <si>
    <t>Chaos para o zoo</t>
  </si>
  <si>
    <t>Sylvan's Effigy + Primate/Rabbit Idol</t>
  </si>
  <si>
    <t>Nv 78</t>
  </si>
  <si>
    <t>Valor (~1 div)</t>
  </si>
  <si>
    <t>Zoo ilimitado</t>
  </si>
  <si>
    <t>Forgotten Warden + Lavianga's Spirits</t>
  </si>
  <si>
    <t>Nv 80</t>
  </si>
  <si>
    <t>Valor (~0,3 div)</t>
  </si>
  <si>
    <t>Spirit Vessel + mana</t>
  </si>
  <si>
    <t>Endgame</t>
  </si>
  <si>
    <t>Luxo</t>
  </si>
  <si>
    <t>Teto</t>
  </si>
  <si>
    <t>SPIRIT PLANNER — cabe no seu Spirit?</t>
  </si>
  <si>
    <t>Amarelo = você edita. Estimativa: custo ÷ ((1 + increased) × more/less). Confira sempre o valor final no jogo.</t>
  </si>
  <si>
    <t>PARÂMETROS</t>
  </si>
  <si>
    <t>Spirit total</t>
  </si>
  <si>
    <t>Vem do INÍCIO (B7).</t>
  </si>
  <si>
    <t>Trusted Kinship alocado?</t>
  </si>
  <si>
    <t>30% more eficiência p/ Companion · 20% less p/ o resto.</t>
  </si>
  <si>
    <t>Easy Going alocado?</t>
  </si>
  <si>
    <t>+25% increased eficiência de Companion.</t>
  </si>
  <si>
    <t>Outros % increased eficiência (ex.: 0,10)</t>
  </si>
  <si>
    <t>Jewels/itens. Digite como fração.</t>
  </si>
  <si>
    <t>Idolatry alocado?</t>
  </si>
  <si>
    <t>+2% eficiência por Idol.</t>
  </si>
  <si>
    <t>Nº de Idols equipados</t>
  </si>
  <si>
    <t>Increased (Companion)</t>
  </si>
  <si>
    <t>Increased (Outros)</t>
  </si>
  <si>
    <t>Multiplicador more/less (Companion / Outro)</t>
  </si>
  <si>
    <t>SEU ZOO (exemplo preenchido: Ato 4 barato — troque pelos seus valores)</t>
  </si>
  <si>
    <t>Skill / Companion</t>
  </si>
  <si>
    <t>Ativo?</t>
  </si>
  <si>
    <t>Custo base</t>
  </si>
  <si>
    <t>Spirit usado</t>
  </si>
  <si>
    <t>Mighty Silverfist</t>
  </si>
  <si>
    <t>47,4% antes de reduções (guia)</t>
  </si>
  <si>
    <t>Quadrilla (2º beast)</t>
  </si>
  <si>
    <t>42,3% antes de reduções (guia)</t>
  </si>
  <si>
    <t>Digite o custo mostrado no jogo</t>
  </si>
  <si>
    <t>Wind Dancer</t>
  </si>
  <si>
    <t>Digite o custo base do jogo</t>
  </si>
  <si>
    <t>Discipline / Malice</t>
  </si>
  <si>
    <t>Sofre o 'less' do Trusted Kinship</t>
  </si>
  <si>
    <t>Vile Vulture</t>
  </si>
  <si>
    <t>T15</t>
  </si>
  <si>
    <t>Rhex</t>
  </si>
  <si>
    <t>Aura barata</t>
  </si>
  <si>
    <t>Spirit reservado</t>
  </si>
  <si>
    <t>Spirit livre</t>
  </si>
  <si>
    <t>Uso</t>
  </si>
  <si>
    <t>Assunção: custos '%' são % do Spirit máximo antes de reduções (conforme o guia imortilize). Os valores 'Flat' você copia do jogo. É uma estimativa — o painel de skills do jogo é a verdade final.</t>
  </si>
  <si>
    <t>COMPANIONS &amp; BEASTS — o que capturar</t>
  </si>
  <si>
    <t>Custo = % de Spirit antes de reduções. Prioridade de aura: Extra Physical ou Haste Aura &gt; Energy Shield ou Invulnerability Aura &gt; Temporal Bubble &gt; Elemental Resistance Aura</t>
  </si>
  <si>
    <t>Beast</t>
  </si>
  <si>
    <t>Onde</t>
  </si>
  <si>
    <t>Papel</t>
  </si>
  <si>
    <t>Tier</t>
  </si>
  <si>
    <t>Mods desejados</t>
  </si>
  <si>
    <t>Supports</t>
  </si>
  <si>
    <t>Requer</t>
  </si>
  <si>
    <t>Mighty Silverfist / Zekoa</t>
  </si>
  <si>
    <t>Ato 3 Jungle Ruins / mapas Riverside e Rupture</t>
  </si>
  <si>
    <t>Único DPS de verdade</t>
  </si>
  <si>
    <t>S+</t>
  </si>
  <si>
    <t>Extra Crits · Hasted · Extra Damage as Chaos/Physical</t>
  </si>
  <si>
    <t>Feeding Frenzy II · Rage III · Muster · Heft · Rapid Attacks II</t>
  </si>
  <si>
    <t>Tame Beast + The Natural Order</t>
  </si>
  <si>
    <t>Quill Crab (Porcupine)</t>
  </si>
  <si>
    <t>Ato 4 Whakapanu Island (essence e raros na praia)</t>
  </si>
  <si>
    <t>Aura bot barato</t>
  </si>
  <si>
    <t>S</t>
  </si>
  <si>
    <t>Haste Aura (o mais fácil de achar)</t>
  </si>
  <si>
    <t>Loyalty · Last Gasp · Elemental Army · Meat Shield II · Minion Mastery</t>
  </si>
  <si>
    <t>Tame Beast</t>
  </si>
  <si>
    <t>Coconut Crab</t>
  </si>
  <si>
    <t>Ato 4 Whakapanu Island</t>
  </si>
  <si>
    <t>Haste / Physical Aura</t>
  </si>
  <si>
    <t>Swarming Wisp</t>
  </si>
  <si>
    <t>Ato 5 Ashen Forest (essence)</t>
  </si>
  <si>
    <t>Aura bot mais barato</t>
  </si>
  <si>
    <t>Qualquer aura T1 exceto Haste</t>
  </si>
  <si>
    <t>Plague Swarm</t>
  </si>
  <si>
    <t>Ato 2 Mawdun Quarry (essence)</t>
  </si>
  <si>
    <t>A+</t>
  </si>
  <si>
    <t>Aura T1</t>
  </si>
  <si>
    <t>Crag Leaper</t>
  </si>
  <si>
    <t>Ato 2 Vastiri Outskirts (essence)</t>
  </si>
  <si>
    <t>Aura T1 (NUNCA Haste: é very_fast_movement)</t>
  </si>
  <si>
    <t>Bramble Ape</t>
  </si>
  <si>
    <t>Ato 5 Kriar Village</t>
  </si>
  <si>
    <t>A</t>
  </si>
  <si>
    <t>Rasp Scavenger</t>
  </si>
  <si>
    <t>Ato 5 Khari Crossing (essence)</t>
  </si>
  <si>
    <t>Aura bot reserva</t>
  </si>
  <si>
    <t>Diretusk Boar</t>
  </si>
  <si>
    <t>Ato 3 Infested Barrens (garantido)</t>
  </si>
  <si>
    <t>Companion de campanha</t>
  </si>
  <si>
    <t>Qualquer</t>
  </si>
  <si>
    <t>Loyalty · Muster · Rapid Attacks II · Minion Mastery</t>
  </si>
  <si>
    <t>Antlion Charger</t>
  </si>
  <si>
    <t>Companion de campanha (setup de 3 do Mattjestic)</t>
  </si>
  <si>
    <t>Loyalty · Last Gasp</t>
  </si>
  <si>
    <t>Vem no Sylvan's Effigy</t>
  </si>
  <si>
    <t>Feeding Frenzy II · Rapid Attacks II · Rage III · Hulking Minions/Muster · Loyalty</t>
  </si>
  <si>
    <t>Sylvan's Effigy</t>
  </si>
  <si>
    <t>LOOP DE CAPTURA</t>
  </si>
  <si>
    <t>Passo 1</t>
  </si>
  <si>
    <t>Ache um beast raro/unique capturável.</t>
  </si>
  <si>
    <t>Passo 2</t>
  </si>
  <si>
    <t>Pause (atalho do Marketplace no botão do meio) e leia os mods antes de bater.</t>
  </si>
  <si>
    <t>Passo 3</t>
  </si>
  <si>
    <t>Se não servir, siga em frente; se servir, use Tame Beast com ele em vida baixa.</t>
  </si>
  <si>
    <t>Passo 4</t>
  </si>
  <si>
    <t>Compare a reserva no Spirit Planner: aura boa que estoura Spirit piora o setup.</t>
  </si>
  <si>
    <t>Passo 5</t>
  </si>
  <si>
    <t>Suba a gem Tame Beast e coloque supports de sobrevivência (Meat Shield II, Loyalty).</t>
  </si>
  <si>
    <t>ASCENDÊNCIA &amp; ÁRVORE DE PASSIVAS</t>
  </si>
  <si>
    <t>Ordem obrigatória: Wild Protector → The Natural Order → The Catha's Balance → Idolatry. Texto dos nós conforme PoE2DB.</t>
  </si>
  <si>
    <t>Nó</t>
  </si>
  <si>
    <t>Quando</t>
  </si>
  <si>
    <t>O que faz</t>
  </si>
  <si>
    <t>Por que</t>
  </si>
  <si>
    <t>Ato 2 · Trial of the Sekhemas</t>
  </si>
  <si>
    <t>Invoca o Bear Spirit: salta nos inimigos com Maim, faz leech de vida no slam e dá Intimidate. Não conta no limite de companions.</t>
  </si>
  <si>
    <t>Tank grátis na campanha e base de Presence.</t>
  </si>
  <si>
    <t>The Natural Order</t>
  </si>
  <si>
    <t>Ato 3 · Trial of Chaos</t>
  </si>
  <si>
    <t>Tame Beast pode capturar Unique Beasts (1 por vez). Unique tamed ganha 30% movement speed e é possuído por Azmeri Spirits aleatórios a cada 20s.</t>
  </si>
  <si>
    <t>Libera o Mighty Silverfist — nenhuma outra classe usa.</t>
  </si>
  <si>
    <t>The Catha's Balance</t>
  </si>
  <si>
    <t>Atlas · Trial nível 60+</t>
  </si>
  <si>
    <t>Companions causam dano de ataque adicional igual a 60% do dano da sua arma main-hand.</t>
  </si>
  <si>
    <t>Maior salto de dano da build. Arma de maior dano por golpe vence, independente de attack speed.</t>
  </si>
  <si>
    <t>Idolatry</t>
  </si>
  <si>
    <t>Atlas · Trial nível 75+</t>
  </si>
  <si>
    <t>+10% dano de companions e +2% reservation efficiency por Idol equipado; -4% em todas as resists por Augment que não é Idol.</t>
  </si>
  <si>
    <t>Escala dano e Spirit com Idols. Pegue só quando não depender de runas/soul cores para resist.</t>
  </si>
  <si>
    <t>PASSIVAS-CHAVE</t>
  </si>
  <si>
    <t>Trusted Kinship</t>
  </si>
  <si>
    <t>Keystone</t>
  </si>
  <si>
    <t>2 companions de tipos diferentes; 30% more eficiência de reserva de Companion; 20% less para as demais.</t>
  </si>
  <si>
    <t>Mesmo com o Effigy, os 30% more de eficiência continuam valendo.</t>
  </si>
  <si>
    <t>Ato 3 → sempre</t>
  </si>
  <si>
    <t>Giant's Blood</t>
  </si>
  <si>
    <t>Maças/machados/espadas de 2 mãos em uma mão; triplica requisitos de atributo das armas.</t>
  </si>
  <si>
    <t>Chober Chaber + sceptre ao mesmo tempo.</t>
  </si>
  <si>
    <t>Treefingers no Ato 3 → árvore no endgame</t>
  </si>
  <si>
    <t>Easy Going</t>
  </si>
  <si>
    <t>Notable</t>
  </si>
  <si>
    <t>25% increased reservation efficiency de Companion.</t>
  </si>
  <si>
    <t>Mais companions no mesmo Spirit.</t>
  </si>
  <si>
    <t>Polymathy</t>
  </si>
  <si>
    <t>Atributos.</t>
  </si>
  <si>
    <t>Ajuda com os requisitos triplicados.</t>
  </si>
  <si>
    <t>Mind Over Matter</t>
  </si>
  <si>
    <t>Todo dano sai da mana antes da vida; 50% less recuperação de mana.</t>
  </si>
  <si>
    <t>Com +100 mana da Chober e Lavianga's Spirits vira uma camada de defesa enorme.</t>
  </si>
  <si>
    <t>Endgame (nv 90+)</t>
  </si>
  <si>
    <t>ÁRVORE POR ETAPA</t>
  </si>
  <si>
    <t>Foco</t>
  </si>
  <si>
    <t>Dano</t>
  </si>
  <si>
    <t>Defesa</t>
  </si>
  <si>
    <t>Spirit</t>
  </si>
  <si>
    <t>Não faça</t>
  </si>
  <si>
    <t>1–30</t>
  </si>
  <si>
    <t>Twister/projétil</t>
  </si>
  <si>
    <t>Vida + Evasion</t>
  </si>
  <si>
    <t>Minion cedo demais</t>
  </si>
  <si>
    <t>Trusted Kinship + Bonds (Mamba, Cat) + Unspoken Bond</t>
  </si>
  <si>
    <t>Macaco</t>
  </si>
  <si>
    <t>Blur, Catlike Agility, Escape Velocity</t>
  </si>
  <si>
    <t>Nós de ataque</t>
  </si>
  <si>
    <t>46–64</t>
  </si>
  <si>
    <t>Easy Going, Inspiring Ally, Bond of the Wolf/Owl</t>
  </si>
  <si>
    <t>Macaco + Muster</t>
  </si>
  <si>
    <t>Evasion</t>
  </si>
  <si>
    <t>Sacrificar resists</t>
  </si>
  <si>
    <t>Sturdy Ally, Captivating Companionship, Sic 'Em, Howling Primate</t>
  </si>
  <si>
    <t>Catha + Chober</t>
  </si>
  <si>
    <t>Enhanced Reflexes</t>
  </si>
  <si>
    <t>Mais companions</t>
  </si>
  <si>
    <t>Julgar arma por DPS</t>
  </si>
  <si>
    <t>Giant's Blood, Polymathy, Deflection, Long Distance Relationship</t>
  </si>
  <si>
    <t>Zekoa + Azmerian Wolf</t>
  </si>
  <si>
    <t>Enduring/Avoiding Deflection</t>
  </si>
  <si>
    <t>Tirar Trusted Kinship</t>
  </si>
  <si>
    <t>90+</t>
  </si>
  <si>
    <t>Mind Over Matter, The Soul Meridian, Beastial Skin</t>
  </si>
  <si>
    <t>MoM</t>
  </si>
  <si>
    <t>MoM sem mana</t>
  </si>
  <si>
    <t>Dica: use o planner da Mobalytics (links em Fontes) para ver o caminho exato de cada ato — as cores Amarelo/Rosa/Verde são árvore principal / Weapon Set 1 / Weapon Set 2.</t>
  </si>
  <si>
    <t>RECOMPENSAS PERMANENTES — não pule</t>
  </si>
  <si>
    <t>+130 Spirit, resistências e weapon set points ao longo da campanha. Marque Feito.</t>
  </si>
  <si>
    <t>Ato</t>
  </si>
  <si>
    <t>Área</t>
  </si>
  <si>
    <t>Boss / Quest</t>
  </si>
  <si>
    <t>Recompensa</t>
  </si>
  <si>
    <t>Prioridade</t>
  </si>
  <si>
    <t>Clearfell</t>
  </si>
  <si>
    <t>Beira of the Rotten Pack</t>
  </si>
  <si>
    <t>+10% resistência a frio</t>
  </si>
  <si>
    <t>Alta</t>
  </si>
  <si>
    <t>Hunting Grounds</t>
  </si>
  <si>
    <t>The Crowbell</t>
  </si>
  <si>
    <t>2 Weapon Set Passive Points</t>
  </si>
  <si>
    <t>Freythorn</t>
  </si>
  <si>
    <t>The King in the Mists</t>
  </si>
  <si>
    <t>+30 Spirit</t>
  </si>
  <si>
    <t>CRÍTICA</t>
  </si>
  <si>
    <t>Ogham Farmlands</t>
  </si>
  <si>
    <t>Una's Hut</t>
  </si>
  <si>
    <t>Ogham Manor</t>
  </si>
  <si>
    <t>Candlemass, the Living Rite</t>
  </si>
  <si>
    <t>+20 vida máxima</t>
  </si>
  <si>
    <t>Keth</t>
  </si>
  <si>
    <t>Kabala, Constrictor Queen</t>
  </si>
  <si>
    <t>Valley of the Titans</t>
  </si>
  <si>
    <t>Medallion</t>
  </si>
  <si>
    <t>+1 Charm Slot e 30% charm charges</t>
  </si>
  <si>
    <t>Deshar</t>
  </si>
  <si>
    <t>Final Letter</t>
  </si>
  <si>
    <t>Spires of Deshar</t>
  </si>
  <si>
    <t>Sisters of Garukhan</t>
  </si>
  <si>
    <t>+10% resistência a raio</t>
  </si>
  <si>
    <t>Jungle Ruins</t>
  </si>
  <si>
    <t>2 Weapon Set Points + alvo do Tame</t>
  </si>
  <si>
    <t>Venom Crypts</t>
  </si>
  <si>
    <t>Venom Draught</t>
  </si>
  <si>
    <t>25% Stun Threshold</t>
  </si>
  <si>
    <t>Média</t>
  </si>
  <si>
    <t>Jiquani's Machinarium</t>
  </si>
  <si>
    <t>Blackjaw, the Remnant</t>
  </si>
  <si>
    <t>+10% resistência a fogo</t>
  </si>
  <si>
    <t>Azak Bog</t>
  </si>
  <si>
    <t>Ignagduk, the Bog Witch</t>
  </si>
  <si>
    <t>Molten Vault</t>
  </si>
  <si>
    <t>The Molten Vault</t>
  </si>
  <si>
    <t>Reforging Bench</t>
  </si>
  <si>
    <t>Aggorat</t>
  </si>
  <si>
    <t>Blood Sacrifice</t>
  </si>
  <si>
    <t>Journey's End</t>
  </si>
  <si>
    <t>Captain Hartlin</t>
  </si>
  <si>
    <t>2 Weapon Set Points + Skill Gem lv13</t>
  </si>
  <si>
    <t>Eye of Hinekora</t>
  </si>
  <si>
    <t>Navali's Rest</t>
  </si>
  <si>
    <t>5% mana máxima</t>
  </si>
  <si>
    <t>Halls of the Dead</t>
  </si>
  <si>
    <t>Yama The White</t>
  </si>
  <si>
    <t>Tawhoa's Test</t>
  </si>
  <si>
    <t>+5% resistência a raio</t>
  </si>
  <si>
    <t>Abandoned Prison</t>
  </si>
  <si>
    <t>Goddess of Justice</t>
  </si>
  <si>
    <t>30% recuperação de vida por flask</t>
  </si>
  <si>
    <t>Tasalio's Test</t>
  </si>
  <si>
    <t>+5% resistência a frio</t>
  </si>
  <si>
    <t>Ngamahu's Test</t>
  </si>
  <si>
    <t>+5% resistência a fogo</t>
  </si>
  <si>
    <t>Tribal Medicine</t>
  </si>
  <si>
    <t>ESCOLHA: +12% da Evasion como Deflection</t>
  </si>
  <si>
    <t>Interlúdio</t>
  </si>
  <si>
    <t>Wolvenhold</t>
  </si>
  <si>
    <t>Oswin, the Dread Warden</t>
  </si>
  <si>
    <t>Khari Crossing</t>
  </si>
  <si>
    <t>Akthi and Anundr</t>
  </si>
  <si>
    <t>Molten Shrine</t>
  </si>
  <si>
    <t>5% vida máxima</t>
  </si>
  <si>
    <t>Qimah</t>
  </si>
  <si>
    <t>Tabana's Pillar</t>
  </si>
  <si>
    <t>+5% todas as resistências elementais</t>
  </si>
  <si>
    <t>Kriar Village</t>
  </si>
  <si>
    <t>Lythara, the Wayward Spear</t>
  </si>
  <si>
    <t>+40 Spirit</t>
  </si>
  <si>
    <t>Howling Caves</t>
  </si>
  <si>
    <t>The Abominable Yeti</t>
  </si>
  <si>
    <t>TRICKS DE PROFISSIONAL</t>
  </si>
  <si>
    <t>O que streamers e jogadores de topo fazem para ganhar tempo, dano e segurança.</t>
  </si>
  <si>
    <t>Categoria</t>
  </si>
  <si>
    <t>Trick</t>
  </si>
  <si>
    <t>Como fazer</t>
  </si>
  <si>
    <t>Médio</t>
  </si>
  <si>
    <t>Rota de aura bots do Mattjestic</t>
  </si>
  <si>
    <t>1) Ato 4 Whakapanu Island: essence de crabs na praia (Quill/Coconut Crab ~25%) até achar Haste Aura. 2) Ato 5 Ashen Forest: Swarming Wisp (21%) com qualquer aura T1 exceto Haste. 3) Ato 2 Vastiri Outskirts: Crag Leaper (23,1%). Guarde auras T1 diferentes e substitua crabs duplicados.</t>
  </si>
  <si>
    <t>Fácil</t>
  </si>
  <si>
    <t>Haste não aparece em beasts muito rápidos</t>
  </si>
  <si>
    <t>Beasts com a tag very_fast_movement (ex.: Crag Leaper) nunca rolam Haste Aura. Procure Haste em crabs.</t>
  </si>
  <si>
    <t>Conte os tipos de minion para o Muster</t>
  </si>
  <si>
    <t>Urso, macaco, cada beast diferente, Azmerian Wolf, Wolf Pack, Spirit Vessel e cada tipo de esqueleto contam como um tipo. Cada um soma 7% more dano nos companions com Muster.</t>
  </si>
  <si>
    <t>Os 2 primeiros Skeletal Warriors são grátis</t>
  </si>
  <si>
    <t>O Skeletal Warrior do Rattling Sceptre não reserva Spirit para os 2 primeiros. É o combustível mais barato do Pain Offering até o Effigy.</t>
  </si>
  <si>
    <t>Economia</t>
  </si>
  <si>
    <t>The Vertex: confira a versão</t>
  </si>
  <si>
    <t>Só a versão com 'Equipment has no Attribute Requirements' libera a Chober Chaber com Giant's Blood. Filtre por esse mod no trade.</t>
  </si>
  <si>
    <t>Pain Offering sem cair no boss</t>
  </si>
  <si>
    <t>Brutus' Brain no Pain Offering deixa o espinho imune a dano, então o buff não some quando o boss acerta a área. Danse Macabre precisa de 2 esqueletos: com Rattling Sceptre são os Skeletal Warriors; depois do Effigy, o Skeletal Cleric com Sacrificial Lamb II.</t>
  </si>
  <si>
    <t>Como o Tame Beast funciona</t>
  </si>
  <si>
    <t>Use o Tame Beast num raro: ele fica envolto em wisps (Hinder) por ~8–12s. Mate enquanto os wisps estão nele para capturar. O beast guarda até 4 mods de monstro, então capture o que tem os mods que você quer.</t>
  </si>
  <si>
    <t>Silverfist</t>
  </si>
  <si>
    <t>Zekoa com 3+ mods</t>
  </si>
  <si>
    <t>Riverside ou Rupture + 1 Cruel Hegemony + 2 tablets raros com 'Unique Monsters have 1 additional Rare Modifier'. Ordem de mods: Extra Crits &gt; Hasted &gt; Extra Damage as Chaos/Physical &gt; Soul Eater.</t>
  </si>
  <si>
    <t>Avançado</t>
  </si>
  <si>
    <t>Reroll de mods morrendo (softcore)</t>
  </si>
  <si>
    <t>Com Doryani como Atlas Master e o nó Stitch the Flesh (revive extra), dá para morrer de propósito na luta e o boss volta com mods novos. Rituals perto de City biomes geram vários Zekoas no mesmo map.</t>
  </si>
  <si>
    <t>Giant's Blood + The Vertex</t>
  </si>
  <si>
    <t>Treefingers dá Giant's Blood (maça 2 mãos + sceptre), mas triplica requisitos. The Vertex remove requisitos de gems (e, em algumas versões, do equipamento). Soul Core of Cholotl converte 40% para Dex.</t>
  </si>
  <si>
    <t>Idols no Sylvan's Effigy</t>
  </si>
  <si>
    <t>Primate Idol (+40% dano de aliados) e Rabbit Idol (+15% Spirit) custam centavos. No capacete, Idol of Ralakesh dá +8% reservation efficiency de minions.</t>
  </si>
  <si>
    <t>Alpha's Howl quando faltar Spirit</t>
  </si>
  <si>
    <t>+100 Spirit e Presence em dobro por ~0,4 div. Troque de volta por capacete com +Minion Skills quando o Spirit sobrar.</t>
  </si>
  <si>
    <t>Spirit Vessel do Forgotten Warden</t>
  </si>
  <si>
    <t>O body já concede Spirit Vessel nível 16. Soquete skills de Bear/Werewolf/Wyvern nele (ex.: Furious Slam): ganha 20% more dano por skill diferente.</t>
  </si>
  <si>
    <t>Compre uniques já runeforged</t>
  </si>
  <si>
    <t>Tyranny's Grip Runeforged sai ≈ 0,003 div e Chober Chaber Runeforged ≈ 0,04 div: mais barato do que juntar Verisium para fazer você mesmo.</t>
  </si>
  <si>
    <t>Mind Over Matter + Lavianga's Spirits</t>
  </si>
  <si>
    <t>O flask de mana com efeito constante e a mana da Chober Chaber sustentam o MoM e os Commands do Azmerian Wolf.</t>
  </si>
  <si>
    <t>Forbidden Rites</t>
  </si>
  <si>
    <t>Ritual em toda área da campanha</t>
  </si>
  <si>
    <t>Nesta liga cada área da campanha tem um Ritual que dá currency de crafting e equipamento. Faça todos no Ato 1–2: é o jeito mais barato de achar spear e botas com Movement Speed sem gastar no trade.</t>
  </si>
  <si>
    <t>Cluster de Ritual em bosses = uniques</t>
  </si>
  <si>
    <t>Duas vezes por ato (e uma por interlúdio) aparecem clusters de Ritual Effigies em cima do boss da área. O boss derrotado se soma à próxima área do cluster; no fim você gasta Tribute em Unique Items. Guarde Tribute para isso e procure Meginord's Girdle ou Tyranny's Grip.</t>
  </si>
  <si>
    <t>Trial of Chaos com pausa</t>
  </si>
  <si>
    <t>No 0.5.5 dá para sair do Trial of Chaos e voltar depois na mesma sala, e cada sala tem baú de recompensa. Faça a 2ª Ascendência sem medo de perder a run se precisar parar para trade.</t>
  </si>
  <si>
    <t>Trials 65+ dropam Exceptional</t>
  </si>
  <si>
    <t>Trial of Sekhemas e Trial of Chaos ganham bônus a partir de área 65 (mais raros, qualidade e itens Exceptional). Rodar a 3ª e 4ª Ascendência nesse nível paga o próprio custo.</t>
  </si>
  <si>
    <t>Viridian Wildwood</t>
  </si>
  <si>
    <t>Sacred Blooms (recompensa de Ritual) adicionam o Viridian Wildwood a um grupo de maps. Siga as trilhas de Wisps: os monstros do map ficam mais fortes e mais recompensadores. Com o zoo em T15 isso é farm fácil.</t>
  </si>
  <si>
    <t>Não mate o macaco cedo</t>
  </si>
  <si>
    <t>Se chegar ao Jungle Ruins sem The Natural Order, não mate o Silverfist: siga, faça o Trial of Chaos e volte pelo waypoint para capturá-lo. Se já matou, sem pânico — ele é sempre o boss dos maps Riverside e Rupture.</t>
  </si>
  <si>
    <t>Silverfist com Extra Crits</t>
  </si>
  <si>
    <t>Use tablets com 'Unique monsters have 1 additional modifier' + Cruel Hegemony (e o nó do Jado com 20% de chance de dobrar mods de tablet) em Riverside/Rupture. Mais mods = mais chances de Extra Crits. Não precisa de map alto.</t>
  </si>
  <si>
    <t>Rite of the Nameless</t>
  </si>
  <si>
    <t>Começar o Rite of the Nameless (Ritual) em Riverside/Rupture coloca o macaco no último ritual de cada map — mais tentativas de mods. É perigoso: vá com defesa em dia.</t>
  </si>
  <si>
    <t>Pause no trade para ler mods</t>
  </si>
  <si>
    <t>Liga o atalho do Marketplace no botão do meio do mouse. Viu um beast raro? Aperta e o jogo pausa para você ler os mods com calma (não funciona em SSF).</t>
  </si>
  <si>
    <t>Caçar sem matar sem querer</t>
  </si>
  <si>
    <t>Para achar companions no Hunting Grounds (Ato 1), tire o urso da ascendência e desative os companions — senão eles matam o beast antes do Tame Beast.</t>
  </si>
  <si>
    <t>Ordem de auras</t>
  </si>
  <si>
    <t>Haste &gt; Physical Damage &gt; Energy Shield &gt; Heals Allies &gt; Hinder. Bônus: Always Shocks, Breaks Armour, Stuns, extra chaos/lightning ou crítico.</t>
  </si>
  <si>
    <t>Catha's Balance: dano por golpe</t>
  </si>
  <si>
    <t>Companions ganham 60% do dano da main-hand. Compare armas pelo dano mínimo–máximo, não pelo DPS: Tyranny's Grip tem attack speed reduzido e mesmo assim é a melhor opção barata.</t>
  </si>
  <si>
    <t>Cuidado com o weapon swap</t>
  </si>
  <si>
    <t>A Catha's Balance lê a main-hand do set ATIVO. Se trocar para um set com arma fraca, o zoo perde dano. No Atlas, fique no set da arma forte (ou coloque arma forte nos dois).</t>
  </si>
  <si>
    <t>Jeweller's no macaco primeiro</t>
  </si>
  <si>
    <t>Todos os sockets vão para o Tame Beast do Silverfist antes de qualquer outra gem. Com o Effigy, o Azmerian Wolf passa a ser prioridade (Perfect Jeweller's se o Effigy estiver com poucos sockets — não funciona em item corrompido).</t>
  </si>
  <si>
    <t>Loyalty em todos</t>
  </si>
  <si>
    <t>Loyalty soma em todos os companions — dá para colocar até no Silverfist quando o dano já sobra e você quer mais segurança.</t>
  </si>
  <si>
    <t>Gameplay</t>
  </si>
  <si>
    <t>Entangle é o seu botão principal</t>
  </si>
  <si>
    <t>No zoo, você não mata — você organiza. Entangle agrupa e prende os packs dentro do alcance do macaco e do urso. Use antes de cada pack grande.</t>
  </si>
  <si>
    <t>Fique perto (Presence)</t>
  </si>
  <si>
    <t>Vários bônus (Shared Companion Damage, auras dos beasts) exigem companions na sua Presence. Não corra muito à frente do zoo em bosses.</t>
  </si>
  <si>
    <t>DoT é o que mata</t>
  </si>
  <si>
    <t>Evasion + Deflection seguram hits, não DoT. Leve Ruby (burn), Antidote (poison) e Staunching (bleed). Resists sempre no cap.</t>
  </si>
  <si>
    <t>Idolatry x runas de resist</t>
  </si>
  <si>
    <t>Cada Augment que não é Idol tira 4% de todas as resistências. Troque runas/soul cores de resist por Idols só depois de capar resists pelo gear.</t>
  </si>
  <si>
    <t>Regex de vendor</t>
  </si>
  <si>
    <t>Cole na busca do vendor para destacar upgrades: !regen|block|bow|mace|quarterstaff|armour:|accuracy|energy shield:""resi|\d+% i.+mov|ph.*da|\d l.+da|^\+.*ills$|^\+.*ion skills$|ck spe|o (all a|d)|evasion|spirit</t>
  </si>
  <si>
    <t>Compre o Tyranny's Grip cedo</t>
  </si>
  <si>
    <t>É um unique de nível 5 e costuma ser barato. Compre no Ato 4, guarde, e faça o Runeforge na Verisium Anvil quando pegar a Catha's Balance.</t>
  </si>
  <si>
    <t>DIAGNÓSTICO — o dano caiu? algo deu errado?</t>
  </si>
  <si>
    <t>Sintoma → causa provável → correção. Abaixo, análise do seu setup atual (imagens da planilha antiga).</t>
  </si>
  <si>
    <t>Sintoma</t>
  </si>
  <si>
    <t>O que fazer</t>
  </si>
  <si>
    <t>O zoo parou de bater / sumiu</t>
  </si>
  <si>
    <t>Spirit acima do limite desliga skills. Veja a reserva no painel de skills e desligue uma não-companion.</t>
  </si>
  <si>
    <t>Dano caiu depois de trocar arma</t>
  </si>
  <si>
    <t>A Catha's Balance usa a main-hand do set ativo. Volte para o set com a arma forte.</t>
  </si>
  <si>
    <t>Silverfist fraco no Ato 4</t>
  </si>
  <si>
    <t>Supports errados: Muster · Armour Break II · Armour Demolisher II · Rage II. Suba o nível da gem Tame Beast.</t>
  </si>
  <si>
    <t>Resists caíram do nada</t>
  </si>
  <si>
    <t>Idolatry: -4% por Augment que não é Idol. Troque runas/soul cores por Idols ou recapar via gear.</t>
  </si>
  <si>
    <t>Morro para bleed/burn/poison</t>
  </si>
  <si>
    <t>Charms Staunching / Ruby / Antidote e resist de chaos. Evasion não protege contra DoT.</t>
  </si>
  <si>
    <t>Bosses demoram</t>
  </si>
  <si>
    <t>Sniper's Mark no boss, Armour Break III no macaco, e confira se os companions estão na sua Presence.</t>
  </si>
  <si>
    <t>Tirei Trusted Kinship com o Effigy e o Spirit estourou</t>
  </si>
  <si>
    <t>Recoloque o keystone: os 30% more de reservation efficiency continuam valendo mesmo com companions ilimitados.</t>
  </si>
  <si>
    <t>Não consigo equipar a Chober Chaber com Giant's Blood</t>
  </si>
  <si>
    <t>Os requisitos triplicam. Use The Vertex, Soul Core of Cholotl (40% vira Dex) ou atributos na árvore.</t>
  </si>
  <si>
    <t>Zekoa com poucos mods</t>
  </si>
  <si>
    <t>Use tablets com 'Unique Monsters have 1 additional Rare Modifier' + Cruel Hegemony em Riverside/Rupture.</t>
  </si>
  <si>
    <t>Pain Offering não dá buff</t>
  </si>
  <si>
    <t>Com Danse Macabre ele precisa de 2 esqueletos vivos. Confira se os Skeletal Warriors (ou o Cleric no endgame) estão perto e com Sacrificial Lamb.</t>
  </si>
  <si>
    <t>Mana acaba no endgame</t>
  </si>
  <si>
    <t>Lavianga's Spirits (flask constante) + a mana da Chober Chaber; com Mind Over Matter a mana também é sua defesa.</t>
  </si>
  <si>
    <t>SEU SETUP ATUAL — análise</t>
  </si>
  <si>
    <t>Silverfist — Feeding Frenzy II, Rage II, Rapid Attacks II, Heft, Muster</t>
  </si>
  <si>
    <t>Certo: é exatamente o setup do Mattjestic (Act 5 / mapping). Com Rage III no lugar do Rage II a partir do mapping.</t>
  </si>
  <si>
    <t>Wild Protector — Magnified Area I, Armour Break III, Minion Splash II</t>
  </si>
  <si>
    <t>Certo para Ato 4 → mapping T1-10 (o Mattjestic usa os mesmos três e adiciona Minion Mastery). No endgame vira Romira's Requital + Catha's Brilliance.</t>
  </si>
  <si>
    <t>Pain Offering — Danse Macabre, Prolonged Duration II</t>
  </si>
  <si>
    <t>Central na rota. Adicione Sacrificial Offering no mapping e Brutus' Brain no endgame (o espinho não morre). Precisa de 2 esqueletos vivos por causa do Danse Macabre.</t>
  </si>
  <si>
    <t>Skeletal Sniper + Withering Presence</t>
  </si>
  <si>
    <t>Os dois fazem sentido: o Sniper conta como mais um tipo de minion para o Muster e serve de alvo do Pain Offering; o Withering Presence vale com 2× Evergrasping Ring (dano de chaos nos aliados). Sem os anéis, troque o Withering Presence.</t>
  </si>
  <si>
    <t>ATLAS — checklist e árvore</t>
  </si>
  <si>
    <t>Da entrada no T1 até Uber Arbiter. Nós do Atlas conforme o guia T15+ (0.5.5).</t>
  </si>
  <si>
    <t>Meta</t>
  </si>
  <si>
    <t>Upgrade-chave</t>
  </si>
  <si>
    <t>Antes do T1</t>
  </si>
  <si>
    <t>75% resists · 25–30% MS · Silverfist com sockets</t>
  </si>
  <si>
    <t>Catha's Balance se já tiver</t>
  </si>
  <si>
    <t>T1–T5</t>
  </si>
  <si>
    <t>Zero mortes aleatórias · +Minion ranks</t>
  </si>
  <si>
    <t>Sceptre raro com Spirit</t>
  </si>
  <si>
    <t>T6–T10</t>
  </si>
  <si>
    <t>Bosses rápidos · main-hand de alto dano</t>
  </si>
  <si>
    <t>Deflection começando</t>
  </si>
  <si>
    <t>T11–T15</t>
  </si>
  <si>
    <t>Zoo estável · charms de DoT</t>
  </si>
  <si>
    <t>Tyranny's Grip / Trenchtimbre</t>
  </si>
  <si>
    <t>T15+ Value</t>
  </si>
  <si>
    <t>Lazy clear · Azmerian Wolf / Wolf Pack</t>
  </si>
  <si>
    <t>Sylvan's Effigy + Idolatry</t>
  </si>
  <si>
    <t>Arbiter / Uber</t>
  </si>
  <si>
    <t>Mana Remnants · aura beasts · 350 Spirit</t>
  </si>
  <si>
    <t>From Nothing / Prism of Belief</t>
  </si>
  <si>
    <t>ÁRVORE DO ATLAS</t>
  </si>
  <si>
    <t>Grupo</t>
  </si>
  <si>
    <t>Standard</t>
  </si>
  <si>
    <t>Unseen Rivers: Vivid</t>
  </si>
  <si>
    <t>Craftsman's Creed: Skill of Hand</t>
  </si>
  <si>
    <t>Well-equipped Opponents: Dexterity</t>
  </si>
  <si>
    <t>Blood on the Stones: Bosses</t>
  </si>
  <si>
    <t>Divined Blessing: Seeking Shrine</t>
  </si>
  <si>
    <t>The Chosen Path: Azmeri Spirits</t>
  </si>
  <si>
    <t>Sacred Sap: Commingled</t>
  </si>
  <si>
    <t>Overlord's Influence: Azmeri Spirit</t>
  </si>
  <si>
    <t>Overlord's Domain: Essence</t>
  </si>
  <si>
    <t>The Journey Ahead: Effectiveness</t>
  </si>
  <si>
    <t>Avatar of Evolution</t>
  </si>
  <si>
    <t>Fabled Showdown</t>
  </si>
  <si>
    <t>Legendary Duels: Renowned Weapons</t>
  </si>
  <si>
    <t>Nemesis Rising: Additional Rare Monster</t>
  </si>
  <si>
    <t>Crystalline Patterns: Opulence</t>
  </si>
  <si>
    <t>Corrupted Lattices: Duplication</t>
  </si>
  <si>
    <t>Essence Dowsing: Ruin</t>
  </si>
  <si>
    <t>Water Mastery: Currency</t>
  </si>
  <si>
    <t>Forest Mastery: Uncut Gems</t>
  </si>
  <si>
    <t>Grass Mastery: Perfect Currency</t>
  </si>
  <si>
    <t>Swamp Mastery: Chaos</t>
  </si>
  <si>
    <t>Desert Mastery: Effectiveness</t>
  </si>
  <si>
    <t>History of the Faridun: Vastiri Woes</t>
  </si>
  <si>
    <t>Ritual</t>
  </si>
  <si>
    <t>Invigorated Sacrifices: Attrition</t>
  </si>
  <si>
    <t>Traveller's Woe: Tainted</t>
  </si>
  <si>
    <t>Delirium</t>
  </si>
  <si>
    <t>Recurring Nightmares: Always Different</t>
  </si>
  <si>
    <t>Breach</t>
  </si>
  <si>
    <t>Breeding Program: Lavish Fruit</t>
  </si>
  <si>
    <t>Shape the Chains: Empower Rares</t>
  </si>
  <si>
    <t>Tear Open the Rift: Major Breach</t>
  </si>
  <si>
    <t>Sole Purpose: Versatility</t>
  </si>
  <si>
    <t>Abyss</t>
  </si>
  <si>
    <t>Lord of the Pit: Agitation</t>
  </si>
  <si>
    <t>Balance of Power: Kurgal</t>
  </si>
  <si>
    <t>Vile Treasures: Eyes</t>
  </si>
  <si>
    <t>Vaal Temple</t>
  </si>
  <si>
    <t>Atziri's Assets: Designs</t>
  </si>
  <si>
    <t>NOSSA ROTA OTIMIZADA — o que mudou e por quê</t>
  </si>
  <si>
    <t>Baseado em 5649 Spirit Walkers com Sylvan's Effigy + 24 zoos nível 98–99 da liga Forbidden Rites (poe.ninja, 15/09/2026).</t>
  </si>
  <si>
    <t>Otimização</t>
  </si>
  <si>
    <t>Evidência (dados)</t>
  </si>
  <si>
    <t>Por quê</t>
  </si>
  <si>
    <t>Guia base dizia</t>
  </si>
  <si>
    <t>Por que a Chober Chaber é o centro</t>
  </si>
  <si>
    <t>Mattjestic usa do 'Giant's Blood' ao 100m DPS; 24% dos zoos com Effigy no poe.ninja.</t>
  </si>
  <si>
    <t>A Catha's Balance dá aos companions 60% do dano da sua main-hand por golpe. A Chober é uma maça de 2 mãos com dano base enorme e ainda dá +2 a +4 Minion Skills, +50 Spirit e +100 mana. Nenhuma outra arma entrega tudo isso junto.</t>
  </si>
  <si>
    <t>Rotas antigas: Tyranny's Grip / spear rare.</t>
  </si>
  <si>
    <t>Giant's Blood: 2 mãos + sceptre</t>
  </si>
  <si>
    <t>Keystone em todas as variantes endgame do Mattjestic; 34% dos zoos com Effigy.</t>
  </si>
  <si>
    <t>Sem Giant's Blood, a Chober ocuparia as duas mãos e você perderia o sceptre (Skeletal Warrior no começo, Sylvan's Effigy depois). Treefingers dá o keystone cedo; no endgame ele vai para a árvore.</t>
  </si>
  <si>
    <t>The Vertex resolve os requisitos triplicados</t>
  </si>
  <si>
    <t>Variante 0.5.5 Mapping: 'The Vertex (equipment)'.</t>
  </si>
  <si>
    <t>Giant's Blood triplica os requisitos de atributo das armas marciais. A versão do The Vertex com 'Equipment has no Attribute Requirements' zera isso e libera a Chober já no Ato 3.</t>
  </si>
  <si>
    <t>Pain Offering é central (não opcional)</t>
  </si>
  <si>
    <t>Presente em quase todas as variantes do Ato 3 ao 21m DPS.</t>
  </si>
  <si>
    <t>Espeta um esqueleto e dá aos minions próximos até +29% attack speed e +58% dano (mais 30% com Danse Macabre e 30% com Sacrificial Offering). Brutus' Brain impede o espinho de morrer.</t>
  </si>
  <si>
    <t>Eu tinha chamado de 'botão opcional' — estava errado.</t>
  </si>
  <si>
    <t>Esqueletos existem para o Muster e para o Pain Offering</t>
  </si>
  <si>
    <t>Ato 5: Frost Mage, Arsonist, Sniper, Reaver e Warrior ao mesmo tempo, sem supports de dano.</t>
  </si>
  <si>
    <t>Muster: +7% more dano para CADA tipo diferente de minion que revive. Cinco tipos de esqueleto baratos = +35% more dano no macaco, e ainda servem de alvo do Pain Offering.</t>
  </si>
  <si>
    <t>Skeletal Cleric é alvo válido do Pain Offering</t>
  </si>
  <si>
    <t>Endgame: Cleric com Sacrificial Lamb II + Tecrod's Revenge.</t>
  </si>
  <si>
    <t>O Cleric é um esqueleto. Quando o Effigy tira o Rattling Sceptre, o Cleric (com Sacrificial Lamb II) vira o esqueleto espetado e ainda cura/revive.</t>
  </si>
  <si>
    <t>Eu tinha dito que o Cleric não servia — estava errado.</t>
  </si>
  <si>
    <t>Withering Presence + Evergrasping Ring</t>
  </si>
  <si>
    <t>Ato 4–5 do Mattjestic: 2× Evergrasping Ring + Withering Presence.</t>
  </si>
  <si>
    <t>O anel faz os aliados ganharem 15–25% do dano como chaos extra; o Wither faz os inimigos receberem mais chaos. Juntos se multiplicam. Sem o anel, o Wither é fraco.</t>
  </si>
  <si>
    <t>Eu tinha mandado tirar o Withering Presence — só vale tirar se não usar o anel.</t>
  </si>
  <si>
    <t>Sem Ball Lightning / Lightning Warp</t>
  </si>
  <si>
    <t>Nenhuma das 26 variantes usa.</t>
  </si>
  <si>
    <t>Eram mobilidade do jogador e não ajudam o macaco. O espaço vai para curse, marks, Pain Offering e Refutation.</t>
  </si>
  <si>
    <t>O guia antigo usava.</t>
  </si>
  <si>
    <t>Mace Strike + Einhar's Beastrite não é dano</t>
  </si>
  <si>
    <t>Variantes endgame (13–24).</t>
  </si>
  <si>
    <t>O Mace Strike vem da própria Chober. Com Einhar's Beastrite ele só finaliza inimigos com vida baixa, e cada raro finalizado te dá 2 modificadores dele por 300 s (Haste, Extra Damage…).</t>
  </si>
  <si>
    <t>Refutation + itens Runeforged</t>
  </si>
  <si>
    <t>Do mapping T1–10 ao endgame.</t>
  </si>
  <si>
    <t>Refutation gasta todo o seu Runic Ward para bloquear todos os hits por um tempo. Runic Ward vem de armaduras Runeforged/Runemastered — é por isso que as armaduras do Mattjestic são Runeforged.</t>
  </si>
  <si>
    <t>Aura bots baratos em Spirit</t>
  </si>
  <si>
    <t>Tier-list do Mattjestic (0.5).</t>
  </si>
  <si>
    <t>O objetivo são 2–3 auras T1 (Physical/Haste &gt; ES/Invulnerability &gt; Temporal Bubble &gt; Elemental Res) em beasts de 21–25% de Spirit: Swarming Wisp, Crag Leaper, Quill/Coconut Crab.</t>
  </si>
  <si>
    <t>Beasts de 40%+ de Spirit.</t>
  </si>
  <si>
    <t>BODY ARMOUR  (% de uso)</t>
  </si>
  <si>
    <t>Forgotten Warden</t>
  </si>
  <si>
    <t>Morior Invictus</t>
  </si>
  <si>
    <t>Rare</t>
  </si>
  <si>
    <t>MAIN-HAND  (% de uso)</t>
  </si>
  <si>
    <t>Tyranny's Grip</t>
  </si>
  <si>
    <t>Trenchtimbre</t>
  </si>
  <si>
    <t>Chober Chaber</t>
  </si>
  <si>
    <t>The Hammer of Faith</t>
  </si>
  <si>
    <t>CONFIGURAÇÃO DE ARMAS  (% de uso)</t>
  </si>
  <si>
    <t>Arma 1 mão / Sceptre</t>
  </si>
  <si>
    <t>Maça 2 mãos / Sceptre (Giant's Blood)</t>
  </si>
  <si>
    <t>Spear / Sceptre</t>
  </si>
  <si>
    <t>KEYSTONES  (% de uso)</t>
  </si>
  <si>
    <t>Iron Reflexes</t>
  </si>
  <si>
    <t>Chaos Inoculation</t>
  </si>
  <si>
    <t>ASCENDÊNCIA  (% de uso)</t>
  </si>
  <si>
    <t>COMPANIONS (SKILLS PRINCIPAIS)  (% de uso)</t>
  </si>
  <si>
    <t>Zekoa, the Headcrusher</t>
  </si>
  <si>
    <t>Plague Harvester</t>
  </si>
  <si>
    <t>Quadrilla</t>
  </si>
  <si>
    <t>Quill Crab</t>
  </si>
  <si>
    <t>SKILLS DE SPIRIT  (% de uso)</t>
  </si>
  <si>
    <t>Ghost Dance</t>
  </si>
  <si>
    <t>SUPPORTS MAIS USADOS  (% de uso)</t>
  </si>
  <si>
    <t>ANOINTS DE AMULETO  (% de uso)</t>
  </si>
  <si>
    <t>Warlord Leader</t>
  </si>
  <si>
    <t>Gigantic Following</t>
  </si>
  <si>
    <t>The Soul Meridian</t>
  </si>
  <si>
    <t>Relentless Fallen</t>
  </si>
  <si>
    <t>Lord of Horrors</t>
  </si>
  <si>
    <t>Vile Mending</t>
  </si>
  <si>
    <t>CHARMS / FLASKS ÚNICOS  (% de uso)</t>
  </si>
  <si>
    <t>Beira's Anguish</t>
  </si>
  <si>
    <t>Nascent Hope</t>
  </si>
  <si>
    <t>Sanguis Heroum</t>
  </si>
  <si>
    <t>Lavianga's Spirits</t>
  </si>
  <si>
    <t>Arakaali's Gift</t>
  </si>
  <si>
    <t>The Fall of the Axe</t>
  </si>
  <si>
    <t>Rite of Passage</t>
  </si>
  <si>
    <t>JEWELS ÚNICOS  (% de uso)</t>
  </si>
  <si>
    <t>From Nothing</t>
  </si>
  <si>
    <t>Prism of Belief</t>
  </si>
  <si>
    <t>Megalomaniac</t>
  </si>
  <si>
    <t>Heart of the Well</t>
  </si>
  <si>
    <t>ANÉIS ÚNICOS  (% de uso)</t>
  </si>
  <si>
    <t>Ventor's Gamble</t>
  </si>
  <si>
    <t>Kalandra's Touch</t>
  </si>
  <si>
    <t>Andvarius</t>
  </si>
  <si>
    <t>Eshtera's Path</t>
  </si>
  <si>
    <t>SUPPORTS NO ZEKOA  (% de uso)</t>
  </si>
  <si>
    <t>NOTABLES MAIS COMUNS (24 ZOOS TOP)  (% de uso)</t>
  </si>
  <si>
    <t>Bond of the Wolf</t>
  </si>
  <si>
    <t>Inspiring Ally</t>
  </si>
  <si>
    <t>Bond of the Mamba</t>
  </si>
  <si>
    <t>Long Distance Relationship</t>
  </si>
  <si>
    <t>Blur</t>
  </si>
  <si>
    <t>Entropic Incarnation</t>
  </si>
  <si>
    <t>Grip of Evil</t>
  </si>
  <si>
    <t>Unspoken Bond</t>
  </si>
  <si>
    <t>Bond of the Cat</t>
  </si>
  <si>
    <t>Bond of the Ape</t>
  </si>
  <si>
    <t>Crystallised Immunities</t>
  </si>
  <si>
    <t>Sturdy Ally</t>
  </si>
  <si>
    <t>Captivating Companionship</t>
  </si>
  <si>
    <t>Right Hand of Darkness</t>
  </si>
  <si>
    <t>UNIQUES DA BUILD — preço real, uso no meta e quando entram</t>
  </si>
  <si>
    <t>Preços em Divine Orb (1 div ≈ 353 Exalted) no poe.ninja em 15/09/2026. 'Uso' = % dos zoos com Sylvan's Effigy. Filtre por Fase/Faixa.</t>
  </si>
  <si>
    <t>Unique</t>
  </si>
  <si>
    <t>Faixa</t>
  </si>
  <si>
    <t>Preço (div)</t>
  </si>
  <si>
    <t>Mods principais</t>
  </si>
  <si>
    <t>Como / versões</t>
  </si>
  <si>
    <t>Splinter of Lorrata</t>
  </si>
  <si>
    <t>Leveling nível 1: sempre envenena. Troque pelo Skysliver no 16.</t>
  </si>
  <si>
    <t>Adds (2-3) to (6-8) Physical Damage
Deal no Elemental Damage
20% increased Melee Strike Range with this weapon
Any number of Poisons from this Weapon can affect a target at the same time
Always Poison on Hit with this weapon</t>
  </si>
  <si>
    <t>Foxshade</t>
  </si>
  <si>
    <t>Leveling: +Evasion, +Dexterity e Movement Speed com vida cheia.</t>
  </si>
  <si>
    <t>+(50-70) to Evasion Rating
+(20-30) to Dexterity
10% increased Movement Speed when on Full Life
100% increased Evasion Rating when on Full Life</t>
  </si>
  <si>
    <t>Surefooted Sigil</t>
  </si>
  <si>
    <t>Leveling: vida, Dexterity e dodge roll maior.</t>
  </si>
  <si>
    <t>+(40-60) to maximum Life
+(5-15) to Dexterity
+1 metre to Dodge Roll distance
50% increased Evasion Rating if you've Dodge Rolled Recently</t>
  </si>
  <si>
    <t>Blackheart</t>
  </si>
  <si>
    <t>Anel</t>
  </si>
  <si>
    <t>Leveling: dano de chaos nos ataques, regen de vida e Intimidate. Use dois.</t>
  </si>
  <si>
    <t>(3-6) Life Regeneration per second
Adds (4-6) to (8-10) Chaos Damage to Attacks
+(10-20)% of Armour also applies to Chaos Damage
25% chance to Intimidate Enemies for 4 seconds on Hit</t>
  </si>
  <si>
    <t>Wanderlust</t>
  </si>
  <si>
    <t>Leveling: 20% Movement Speed e imune a Slow.</t>
  </si>
  <si>
    <t>20% increased Movement Speed
+(10-20) to maximum Energy Shield
+5 to Dexterity
Your speed is unaffected by Slows</t>
  </si>
  <si>
    <t>Goldrim</t>
  </si>
  <si>
    <t>Leveling: +25–35% todas as resistências.</t>
  </si>
  <si>
    <t>+(30-50) to Evasion Rating
10% increased Rarity of Items found
+(25-33)% to all Elemental Resistances</t>
  </si>
  <si>
    <t>Meginord's Girdle</t>
  </si>
  <si>
    <t>+40–50 Strength e resist a frio: resolve requisitos de supports na campanha.</t>
  </si>
  <si>
    <t>+(40-50) to Strength
+(10-15)% to Cold Resistance
50% increased Flask Charges used
100% increased Flask Charges gained</t>
  </si>
  <si>
    <t>≈ 0,009 div</t>
  </si>
  <si>
    <t>Skysliver</t>
  </si>
  <si>
    <t>Leveling: spear de raio com attack speed para o Twister no Ato 2.</t>
  </si>
  <si>
    <t>No Physical Damage
Adds 1 to (80-120) Lightning Damage
(15-30)% increased Attack Speed
(50-100)% increased chance to Shock
Rolls only the minimum or maximum Damage value for each Damage Type</t>
  </si>
  <si>
    <t>Rattling Sceptre</t>
  </si>
  <si>
    <t>Main-hand / Offhand</t>
  </si>
  <si>
    <t>Não é unique, mas é a peça que faz a campanha funcionar: concede Skeletal Warrior, e os 2 primeiros não reservam Spirit. Esses esqueletos são o combustível do Pain Offering.</t>
  </si>
  <si>
    <t>Base comum (qualquer rare/normal serve) · Qualquer Rattling Sceptre; se tiver +Minion Skills ou Spirit, melhor.</t>
  </si>
  <si>
    <t>Midnight Braid</t>
  </si>
  <si>
    <t>50% do dano recebido é recuperado como mana, +resistências e +mana: sustenta Pain Offering, Unearth e marks.</t>
  </si>
  <si>
    <t>+(30-50) to maximum Mana
+(5-10)% to all Elemental Resistances
50% of Damage taken Recouped as Mana</t>
  </si>
  <si>
    <t>Main-hand (2 mãos)</t>
  </si>
  <si>
    <t>O centro da rota. Maça de 2 mãos: dano base altíssimo (a Catha's Balance passa 60% dele por golpe para os companions), +2 a +4 Minion Skills, +50 Spirit e +100 mana. Custa ~2 Exalts.</t>
  </si>
  <si>
    <t>+100 Intelligence Requirement
Adds (58-65) to (102-110) Physical Damage
+(80-100) to maximum Mana
+50 to Spirit
+2 to Level of all Minion Skills
Increases and Reductions to Minion Damage also affect you</t>
  </si>
  <si>
    <t>Runeforged (nv 55) ≈ 0,04 div · Para usar com sceptre precisa de Giant's Blood (Treefingers no começo, keystone na árvore depois). Giant's Blood TRIPLICA os requisitos de atributo: resolva com The Vertex (versão 'Equipment has no Attribute Requirements').</t>
  </si>
  <si>
    <t>Umbilicus Immortalis</t>
  </si>
  <si>
    <t>Seu life flask também cura os minions, e eles não morrem enquanto o flask estiver ativo. Salva o macaco em bosses difíceis da campanha.</t>
  </si>
  <si>
    <t>(30-40)% reduced Flask Effect Duration
+(20-30) to Intelligence
Minions have (20-30)% increased maximum Life
Your Life Flask also applies to your Minions
Minions cannot Die while affected by a Life Flask
(20-30)% increased Flask Charges gained</t>
  </si>
  <si>
    <t xml:space="preserve"> · Alternativa ao Midnight Braid.</t>
  </si>
  <si>
    <t>Treefingers</t>
  </si>
  <si>
    <t>Luvas de nível 11 que dão Giant's Blood por ~5 Exalts: permitem Chober Chaber + Rattling Sceptre já no Ato 3, sem gastar pontos na árvore.</t>
  </si>
  <si>
    <t>(30-60)% increased Armour
Adds (6-10) to (12-16) Physical Damage to Attacks
5% reduced Attack Speed
+(15-20) to Strength
(20-30)% increased Stun Buildup
Giant's Blood</t>
  </si>
  <si>
    <t>≈ 0,014 div · Use enquanto não tiver luvas melhores; depois pegue o keystone na árvore.</t>
  </si>
  <si>
    <t>Modo barato: +1 Minion Skills na mão enquanto você não compra a trinca Chober + Treefingers + The Vertex. O Mattjestic usa com Rattling Sceptre do Ato 3 ao mapping T1–10.</t>
  </si>
  <si>
    <t>Adds (13-15) to (22-25) Physical Damage
(20-30)% increased Attack Speed
+1 to Level of all Minion Skills
Increases and Reductions to Minion Attack Speed also affect you</t>
  </si>
  <si>
    <t>Runeforged (nv 40) ≈ 0,08 div · Base custa quase nada; equipe logo depois de capturar o Silverfist.</t>
  </si>
  <si>
    <t>The Vertex</t>
  </si>
  <si>
    <t>Com Giant's Blood, os requisitos da Chober Chaber triplicam (centenas de Strength/Intelligence). A versão 'Equipment has no Attribute Requirements' zera isso. É a peça que libera a Chober cedo.</t>
  </si>
  <si>
    <t>Has no Attribute Requirements
(100-150)% increased Evasion and Energy Shield
(20-30)% increased Critical Hit Chance
+(13-17)% to Chaos Resistance
Equipment has no Attribute Requirements
Skill Gems have no Attribute Requirements</t>
  </si>
  <si>
    <t>≈ 0,41 div · Compre SÓ a versão com 'Equipment has no Attribute Requirements' (o Mattjestic marca como 'The Vertex (equipment)').</t>
  </si>
  <si>
    <t>Charm</t>
  </si>
  <si>
    <t>Contra poison: recupera vida e mana ao usar.</t>
  </si>
  <si>
    <t>Recover Life equal to (15-20)% of Mana Flask's Recovery Amount when used
Recover Mana equal to (15-20)% of Life Flask's Recovery Amount when used</t>
  </si>
  <si>
    <t>≈ 0,003 div</t>
  </si>
  <si>
    <t>Enfolding Dawn</t>
  </si>
  <si>
    <t>+100 Spirit num body de nível 1. É o maior ganho de Spirit da campanha: cabe mais um companion ou vários esqueletos.</t>
  </si>
  <si>
    <t>(50-100)% increased Armour and Energy Shield
+100 to Spirit
+(5-15)% to all Elemental Resistances
Gain no inherent bonus from Intelligence</t>
  </si>
  <si>
    <t xml:space="preserve"> · Use do Ato 2 até o Forgotten Warden.</t>
  </si>
  <si>
    <t>Bushwhack</t>
  </si>
  <si>
    <t>15–25% Movement Speed com Evasion, e seu dano físico dá Pin. Botas baratas com MS para a campanha.</t>
  </si>
  <si>
    <t>(15-25)% increased Movement Speed
(50-80)% increased Evasion Rating
+(10-20) to Dexterity
Physical Damage is Pinning</t>
  </si>
  <si>
    <t>Contra bleed: ganha cargas sozinho e cria Consecrated Ground.</t>
  </si>
  <si>
    <t>Gains (0.15-0.2) Charges per Second
Creates Consecrated Ground on use</t>
  </si>
  <si>
    <t>≈ 0,006 div</t>
  </si>
  <si>
    <t>Evergrasping Ring</t>
  </si>
  <si>
    <t>Aliados na sua Presence ganham 15–25% do dano como chaos EXTRA. Com dois anéis e Withering Presence/Despair, o zoo inteiro bate muito mais.</t>
  </si>
  <si>
    <t>+(60-100) to maximum Mana
Allies in your Presence Gain (15-25)% of Damage as Extra Chaos Damage
Enemies in your Presence Gain (6-12)% of Damage as Extra Chaos Damage</t>
  </si>
  <si>
    <t xml:space="preserve"> · Use dois (um em cada mão) do Ato 4 ao mapping.</t>
  </si>
  <si>
    <t>Starkonja's Head</t>
  </si>
  <si>
    <t>15% do dano de hits vai para o companion antes de você. Defesa barata na campanha e no início dos maps.</t>
  </si>
  <si>
    <t>(100-180)% increased Evasion Rating
(15-24)% increased Critical Hit Chance
+(30-40) to Dexterity
150% increased Global Evasion Rating when on Low Life
15% of Damage from Hits is taken from your Damageable Companion's Life before you</t>
  </si>
  <si>
    <t>≈ 0,01 div</t>
  </si>
  <si>
    <t>Contra ignite: cria chão em chamas que queima com 500% da sua vida máxima.</t>
  </si>
  <si>
    <t>(20-25)% Chance to gain a Charge when you kill an enemy
Creates Ignited Ground for 4 seconds when used, Igniting enemies as though dealing Fire damage equal to 500% of your maximum Life</t>
  </si>
  <si>
    <t>Até +80 vida e +20 Spirit (e resists aleatórias). Um bom roll custa quase nada.</t>
  </si>
  <si>
    <t>+(1-80) to maximum Life
+(1-20) to Spirit
(1-25)% increased Rarity of Items found
(1-25)% reduced Rarity of Items found
(-40-39)% to Fire Resistance
(-40-39)% to Cold Resistance
+(-39-40)% to Lightning Resistance</t>
  </si>
  <si>
    <t>≈ 0,03 div · Compre um com resists positivas.</t>
  </si>
  <si>
    <t>A arma barata padrão da Catha's Balance: +150–238% dano físico. Attack speed reduzido não importa, o companion ganha 60% do dano por golpe.</t>
  </si>
  <si>
    <t>(150-192)% increased Physical Damage
(10-15)% reduced Attack Speed
+(15-30) to Strength
Strikes deal Splash Damage
Knocks Back Enemies on Hit
Cannot use Projectile Attacks</t>
  </si>
  <si>
    <t>Runeforged (nv 38) ≈ 0,003 div · Runemastered (nv 55) ≈ 0,41 div · Compre já Runeforged (sai mais barato que fazer). Runemastered adiciona 'Minions ganham 10% phys como lightning' e +20% dano de minion (bonded).</t>
  </si>
  <si>
    <t>Alpha's Howl</t>
  </si>
  <si>
    <t>+100 Spirit e Presence em dobro (auras e bônus de Presence alcançam o zoo espalhado). Resolve o Spirit do modo barato.</t>
  </si>
  <si>
    <t>(80-100)% increased Evasion Rating
+100 to Spirit
+(50-74)% to Cold Resistance
Presence Radius is doubled</t>
  </si>
  <si>
    <t>≈ 0,42 div · Troca o +Minion Skills do capacete por Spirit: vale enquanto faltar reserva.</t>
  </si>
  <si>
    <t>Undying Hate</t>
  </si>
  <si>
    <t>Jewel</t>
  </si>
  <si>
    <t>Timeless Jewel: conquista nós no raio com bônus Abyssal. Usado no mapping T1–10 do Mattjestic.</t>
  </si>
  <si>
    <t>Historic
Conquered Attribute Passive Skills also grant +2 to Tribute</t>
  </si>
  <si>
    <t xml:space="preserve"> · Opcional.</t>
  </si>
  <si>
    <t>Companions ilimitados (tipos diferentes), Azmerian Wolf e Discipline de graça, +50–68% Spirit. Nesta liga custa ~1 div: não é luxo, é o primeiro grande objetivo do Atlas.</t>
  </si>
  <si>
    <t>(50-68)% increased Spirit
Allies in your Presence Regenerate (51.4-99.1) Life per second
+(6-12) to all Attributes
Companions deal (50-98)% increased damage to your Marked targets
You can have any number of Companions of different types</t>
  </si>
  <si>
    <t>≈ 0,95 div (4 mil à venda) · Coloque Primate Idol (+40% dano de aliados) e Rabbit Idol (+15% Spirit) nos sockets.</t>
  </si>
  <si>
    <t>Spiteful Floret</t>
  </si>
  <si>
    <t>Weapon set 2</t>
  </si>
  <si>
    <t>Fica no weapon set 2 só para conceder Sanguine Revelry (Remnants dão Rage e vida). Você não troca de set para lutar.</t>
  </si>
  <si>
    <t>(60-90)% increased Physical Damage
(6-10)% increased Attack Speed
+(7-14) to Strength
(20-30)% chance to cause Bleeding on Hit
Every 5 Rage also grants 5% of Damage taken Recouped as Life</t>
  </si>
  <si>
    <t xml:space="preserve"> · Equipe no set 2 e ative Sanguine Revelry.</t>
  </si>
  <si>
    <t>Darkness Enthroned</t>
  </si>
  <si>
    <t>Sockets de Augment tratados como Capacete/Escudo/Botas/Luvas com 50–99% mais efeito: mais Idols para a Idolatry.</t>
  </si>
  <si>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</si>
  <si>
    <t>≈ 0,014 div</t>
  </si>
  <si>
    <t>Giant Maul com 300–342% dano físico: muito dano por golpe para a Catha. Runeforged dá 30% phys como lightning e +60% dano de minion (bonded).</t>
  </si>
  <si>
    <t>(300-339)% increased Physical Damage
10% reduced Attack Speed
+10% to all Elemental Resistances
50% increased Mana Regeneration Rate
Every 10 seconds, gain a random non-damaging Shrine buff for 20 seconds</t>
  </si>
  <si>
    <t>≈ 0,10 div · Também exige Giant's Blood para usar com sceptre.</t>
  </si>
  <si>
    <t>Thawing Charm que ganha cargas ao matar e inicia recarga de ES ao usar.</t>
  </si>
  <si>
    <t>(20-25)% Chance to gain a Charge when you kill an enemy
Energy Shield Recharge starts on use</t>
  </si>
  <si>
    <t>≈ 0,11 div</t>
  </si>
  <si>
    <t>Flask</t>
  </si>
  <si>
    <t>Flask de mana com efeito constante: sustenta os Commands do Azmerian Wolf e marks, e combina com Mind Over Matter.</t>
  </si>
  <si>
    <t>This Flask cannot be Used but applies its Effect constantly
(70-80)% reduced Amount Recovered</t>
  </si>
  <si>
    <t>80% dos zoos usam. Companions +30–50% vida, Deflection, 10–15% do dano deflectido vai para os companions, e concede Spirit Vessel nível 16 (um companion a mais sem gastar gem).</t>
  </si>
  <si>
    <t>+(70-100) to Deflection Rating per 50 missing Energy Shield
(200-271)% increased Evasion and Energy Shield
+(20-30) to Dexterity
Companions have (30-50)% increased maximum Life
(10-15)% of Damage from Deflected Hits is taken from Damageable Companion's Life before you</t>
  </si>
  <si>
    <t>Base ≈ 0,21 div · Runemastered ≈ 5 div · Soquete Fox Idol (ativa bonded) e uma skill de Bear/Werewolf no Spirit Vessel.</t>
  </si>
  <si>
    <t>Aloca nós sem conexão: Vile Mending, Grip of Evil, Entropic Incarnation e o cluster de minion perto de Blackflame Covenant. É por isso que esses notables aparecem em 54–67% dos zoos top.</t>
  </si>
  <si>
    <t>Passives in Radius of (keystone) can be Allocated without being connected to your tree</t>
  </si>
  <si>
    <t>≈ 0,21 div · Confira o keystone do raio no anúncio (precisa ser o que alcança os nós de minion).</t>
  </si>
  <si>
    <t>Flesh Crucible</t>
  </si>
  <si>
    <t>Pode rolar Giant's Blood (entre outros keystones) com uma penalidade: alternativa ao Treefingers sem gastar slot de luva.</t>
  </si>
  <si>
    <t>Concede 1 keystone aleatório (procure Giant's Blood)
(10-20)% less de um atributo defensivo/ofensivo</t>
  </si>
  <si>
    <t>≈ 0,32 div · Só compre a versão com Giant's Blood e penalidade leve (ex.: less mana).</t>
  </si>
  <si>
    <t>Onslaught quando você é desacelerado: mais velocidade para acompanhar o zoo.</t>
  </si>
  <si>
    <t>Grants Onslaught during effect</t>
  </si>
  <si>
    <t>≈ 0,64 div</t>
  </si>
  <si>
    <t>Controlled Metamorphosis</t>
  </si>
  <si>
    <t>Aloca nós do anel médio-grande sem conexão (-5 a -20% resists). O Mattjestic usa para pegar nós de companion longe do caminho.</t>
  </si>
  <si>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</si>
  <si>
    <t>+1 a +3 níveis em todos os Tamed Companions (Zekoa, beasts).</t>
  </si>
  <si>
    <t>+(1-3) to Level of all Tamed Companion Skills (versão para a build)</t>
  </si>
  <si>
    <t>+1 barato · +2/+3 Tamed Companion caro · Procure no trade o mod exato 'Tamed Companion Skills'.</t>
  </si>
  <si>
    <t>Grip of Kulemak</t>
  </si>
  <si>
    <t>Citado pelo guia base (Spirit efficiency / vida ao matar / chaos res em aliados, dependendo do roll).</t>
  </si>
  <si>
    <t>(31-38)% increased Armour
(5-9)% increased maximum Mana
(15-25)% increased Critical Damage Bonus
(37-39)% increased Evasion Rating
Hits against you have (20-30)% reduced Critical Damage Bonus
(5-9)% increased maximum Life
(20-30)% reduced Presence Area of Effect</t>
  </si>
  <si>
    <t>Horror's Flight</t>
  </si>
  <si>
    <t>200–300% Evasion e attack speed. Com Cadigan's Epiphany vira jewel socket.</t>
  </si>
  <si>
    <t>(200-300)% increased Evasion Rating
(7-17)% increased Attack Speed
+(13-23) to Dexterity
Adds (19-23) to (31-37) Chaos Damage to Attacks
Gain 1 Fear Incarnate when you Cull a target</t>
  </si>
  <si>
    <t>≈ 0,10 div</t>
  </si>
  <si>
    <t>Aloca notables aleatórios; compre só com notables de minion/defesa.</t>
  </si>
  <si>
    <t>Aloca notables aleatórios (enchant)</t>
  </si>
  <si>
    <t>≈ 0,32 div</t>
  </si>
  <si>
    <t>Mods aleatórios; os bons dão resistência física e regeneração para minions.</t>
  </si>
  <si>
    <t>Gain (9-14)% of Damage as Extra Cold Damage
Gain (9-14)% of Damage as Extra Fire Damage
Gain (10-15)% of Damage as Extra Lightning Damage
(6-12)% increased Critical Damage Bonus
(1-2)% increased Movement Speed
Minions have (3-12)% additional Physical Damage Reduction
(5-9)% chance to Poison on Hit</t>
  </si>
  <si>
    <t>≈ 0,73 div</t>
  </si>
  <si>
    <t>Por socket preenchido: +8–10% todas as resists, +45–60 vida, +10 Spirit, menos dano crítico recebido. Tanque de verdade para Arbiter.</t>
  </si>
  <si>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</si>
  <si>
    <t>≈ 6 div · Encha todos os sockets com Idols.</t>
  </si>
  <si>
    <t>Possessão por Azmeri Spirits ao matar raros/únicos. Luxo.</t>
  </si>
  <si>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</si>
  <si>
    <t>≈ 15 div</t>
  </si>
  <si>
    <t>Copia o outro anel (use com um anel rare perfeito).</t>
  </si>
  <si>
    <t>Reflects opposite Ring</t>
  </si>
  <si>
    <t>≈ 33 div</t>
  </si>
  <si>
    <t>Aceita Sapphire jewel (minion crit/dano) e dá atributos + resists.</t>
  </si>
  <si>
    <t>You can only Socket Sapphire Jewels in this item
(10-20)% increased Rarity of Items found
+(10-24) to all Attributes
+(5-10)% to Fire and Cold Resistances per Equipped Item with a Lightning Resistance Modifier</t>
  </si>
  <si>
    <t>≈ 34 div</t>
  </si>
  <si>
    <t>Mageblood</t>
  </si>
  <si>
    <t>Luxo absoluto: legados de flask permanentes. 13 dos 24 zoos 98+ usam, mas não muda o funcionamento da build.</t>
  </si>
  <si>
    <t>Legacy of Bismuth
Legacy of Granite
Legacy of Quicksilver
Legacy of Amethyst
Legacy of Silver
Legacy of Diamond
Legacy of Stibnite</t>
  </si>
  <si>
    <t>≈ 570 div</t>
  </si>
  <si>
    <t>IDOLS E SOUL CORES</t>
  </si>
  <si>
    <t>Idol</t>
  </si>
  <si>
    <t>Efeito</t>
  </si>
  <si>
    <t>Primate Idol</t>
  </si>
  <si>
    <t>Sceptre / Capacete</t>
  </si>
  <si>
    <t>Sceptre: aliados na Presence +40% dano · Capacete: minions +15% vida</t>
  </si>
  <si>
    <t>Rabbit Idol</t>
  </si>
  <si>
    <t>Sceptre / Body</t>
  </si>
  <si>
    <t>Sceptre: +15% Spirit · Bonded: +30% recarga de Command</t>
  </si>
  <si>
    <t>Idol of Ralakesh</t>
  </si>
  <si>
    <t>Capacete / Sceptre</t>
  </si>
  <si>
    <t>Capacete: +8% reservation efficiency de minions · Sceptre bonded: companions +25% vida</t>
  </si>
  <si>
    <t>Fox Idol</t>
  </si>
  <si>
    <t>Body / Sceptre</t>
  </si>
  <si>
    <t>Body: ativa os Bonded dos Idols do item · Sceptre: +50% Presence</t>
  </si>
  <si>
    <t>Carved Majesty</t>
  </si>
  <si>
    <t>Body / Luvas / Botas</t>
  </si>
  <si>
    <t>Body: +3 Spirit por Idol equipado · Luvas: Onslaught nos alvos marcados · bonded: companions +30% dano</t>
  </si>
  <si>
    <t>Soul Core of Cholotl</t>
  </si>
  <si>
    <t>Arma / Armadura</t>
  </si>
  <si>
    <t>Converte 40% dos requisitos em Dexterity (ajuda Chober Chaber)</t>
  </si>
  <si>
    <t>Greater Rune of Leadership</t>
  </si>
  <si>
    <t>Arma: minions 10% phys como lightning · bonded: +20% dano de minion</t>
  </si>
  <si>
    <t>PASSIVAS &amp; SETS POR FASE — nossa rota</t>
  </si>
  <si>
    <t>Atos 1–2: leveling de spear. Ato 3+: árvore própria (consenso dos 24 zoos top, sem nós de ataque) e sets com uniques no set principal, barato e completo. Árvore visual no app.</t>
  </si>
  <si>
    <t>ATO 1 · 18 pontos principais</t>
  </si>
  <si>
    <t>Novo?</t>
  </si>
  <si>
    <t>Primal Instinct</t>
  </si>
  <si>
    <t>Principal</t>
  </si>
  <si>
    <t>NOVO</t>
  </si>
  <si>
    <t>8% increased Attack Speed · 6% increased Area of Effect · +10 to Dexterity</t>
  </si>
  <si>
    <t>Stalk and Leap</t>
  </si>
  <si>
    <t>30% increased Melee Damage if you've dealt a Projectile Attack Hit in the past eight seconds · 30% increased Projectile Damage if you've dealt a Melee Hit in the past eight seconds</t>
  </si>
  <si>
    <t>Disorientation</t>
  </si>
  <si>
    <t>25% increased Blind duration · 25% increased Damage with Hits against Blinded Enemies</t>
  </si>
  <si>
    <t>Set de leveling (spear)</t>
  </si>
  <si>
    <t>Único</t>
  </si>
  <si>
    <t>Mods que importam / sockets / nota</t>
  </si>
  <si>
    <t>Hunting Spear</t>
  </si>
  <si>
    <t>Arma (Set 1)</t>
  </si>
  <si>
    <t>Adds 5 to 9 Physical Damage ; +17 to Accuracy Rating ; +10 to Strength ; Grants 2 Life per Enemy Hit ; 5% increased Light Radius</t>
  </si>
  <si>
    <t>Leather Buckler</t>
  </si>
  <si>
    <t>Offhand (Set 1)</t>
  </si>
  <si>
    <t>Ruby Charm</t>
  </si>
  <si>
    <t>16% reduced Charges per use</t>
  </si>
  <si>
    <t>Topaz Charm</t>
  </si>
  <si>
    <t>18% increased Duration ; 21% Chance to gain a Charge when you kill an enemy</t>
  </si>
  <si>
    <t>Stocky Mitts</t>
  </si>
  <si>
    <t>Adds 2 to 3 Physical Damage to Attacks ; Adds 1 to 5 Lightning damage to Attacks ; +6 to Strength ; Gain 2 Life per Enemy Hit with Attacks</t>
  </si>
  <si>
    <t>Anel E</t>
  </si>
  <si>
    <t>Anel D</t>
  </si>
  <si>
    <t>ATO 2 · 20 pontos principais</t>
  </si>
  <si>
    <t>Runeforged Bound Bracers</t>
  </si>
  <si>
    <t>Adds 1 to 3 Cold damage to Attacks ; +1 to Level of all Melee Skills ; 6% increased Attack Speed ; +7% to Cold Resistance  |  Sockets/versão: runefire</t>
  </si>
  <si>
    <t>ATO 3 · 31 pontos principais  ·  árvore própria (zoos top, sem ataque)</t>
  </si>
  <si>
    <t>4% increased Movement Speed · 20% increased Evasion Rating · +10 to Dexterity</t>
  </si>
  <si>
    <t>Catlike Agility</t>
  </si>
  <si>
    <t>25% increased Evasion Rating · 40% increased Evasion Rating if you've Dodge Rolled Recently · 3% reduced Movement Speed Penalty from using Skills while moving</t>
  </si>
  <si>
    <t>Escape Velocity</t>
  </si>
  <si>
    <t>3% increased Movement Speed · 30% increased Evasion Rating</t>
  </si>
  <si>
    <t>Gain 4% of Physical Damage as extra Chaos Damage · Companions gain 12% Damage as extra Chaos Damage</t>
  </si>
  <si>
    <t>You can have two Companions of different types · 30% more Reservation Efficiency of Companion Skills · 20% less Reservation Efficiency of non-Companion Skills</t>
  </si>
  <si>
    <t>Companions have +30% to Chaos Resistance · Companions have +30% to all Elemental Resistances</t>
  </si>
  <si>
    <t>Companions have 20% increased Movement Speed · 5% reduced Movement Speed Penalty from using Skills while moving</t>
  </si>
  <si>
    <t>Set principal — BARATO</t>
  </si>
  <si>
    <t>Grants Skill: Skeletal Warrior ; +Spirit / +Minion Skills se tiver  |  2 Skeletal Warriors sem custo de Spirit</t>
  </si>
  <si>
    <t>+1 to Level of all Minion Skills ; (+3 mods de ataque/utilidade que não importam para o zoo)  |  +1 Minion Skills</t>
  </si>
  <si>
    <t>Capacete rare (Cultist Crown)</t>
  </si>
  <si>
    <t>+1/+2 to Level of all Minion Skills ; +Life ; +Resistências</t>
  </si>
  <si>
    <t>+(50-70) to Evasion Rating ; 10% increased Movement Speed when on Full Life ; 100% increased Evasion Rating when on Full Life ; (+1 mod de ataque/utilidade que não importa para o zoo)</t>
  </si>
  <si>
    <t>Luvas rare</t>
  </si>
  <si>
    <t>+Life ; +Resistências ; +Evasion</t>
  </si>
  <si>
    <t>20% increased Movement Speed ; +(10-20) to maximum Energy Shield ; (+2 mods de ataque/utilidade que não importam para o zoo)</t>
  </si>
  <si>
    <t>Amuleto rare</t>
  </si>
  <si>
    <t>+1 to Level of all Minion Skills ; +Spirit ; +Life ; +Resistências</t>
  </si>
  <si>
    <t>(+4 mods de ataque/utilidade que não importam para o zoo)</t>
  </si>
  <si>
    <t>+(30-50) to maximum Mana ; +(5-10)% to all Elemental Resistances ; (+1 mod de ataque/utilidade que não importa para o zoo)</t>
  </si>
  <si>
    <t>Set principal — COMPLETO</t>
  </si>
  <si>
    <t>+(80-100) to maximum Mana ; +50 to Spirit ; +2 to Level of all Minion Skills ; Increases and Reductions to Minion Damage also affect you ; (+2 mods de ataque/utilidade que não importam para o zoo)  |  Sockets/versão: Runeforged  |  Giant's Blood (Treefingers) + The Vertex para usar com sceptre</t>
  </si>
  <si>
    <t>Has no Attribute Requirements ; (100-150)% increased Evasion and Energy Shield ; +(13-17)% to Chaos Resistance ; Equipment has no Attribute Requirements ; Skill Gems have no Attribute Requirements ; (+1 mod de ataque/utilidade que não importa para o zoo)  |  versão Equipment has no Attribute Requirements</t>
  </si>
  <si>
    <t>(50-100)% increased Armour and Energy Shield ; +100 to Spirit ; +(5-15)% to all Elemental Resistances ; (+1 mod de ataque/utilidade que não importa para o zoo)  |  +100 Spirit</t>
  </si>
  <si>
    <t>+(15-20) to Strength ; Giant's Blood ; (+4 mods de ataque/utilidade que não importam para o zoo)  |  Giant's Blood</t>
  </si>
  <si>
    <t>ATO 4 · 51 pontos principais  ·  árvore própria (zoos top, sem ataque)</t>
  </si>
  <si>
    <t>6% increased Attack Speed · Companions have 50% chance to gain Onslaught on Kill</t>
  </si>
  <si>
    <t>Inspiring Ally (só passagem)</t>
  </si>
  <si>
    <t>Increases and Reductions to Companion Damage also apply to you</t>
  </si>
  <si>
    <t>25% increased Reservation Efficiency of Companion Skills</t>
  </si>
  <si>
    <t>+1 to Level of all Minion Skills ; (+3 mods de ataque/utilidade que não importam para o zoo)</t>
  </si>
  <si>
    <t>(15-25)% increased Movement Speed ; (50-80)% increased Evasion Rating ; (+2 mods de ataque/utilidade que não importam para o zoo)</t>
  </si>
  <si>
    <t>+(60-100) to maximum Mana ; Allies in your Presence Gain (15-25)% of Damage as Extra Chaos Damage ; Enemies in your Presence Gain (6-12)% of Damage as Extra Chaos Damage</t>
  </si>
  <si>
    <t>(20-25)% Chance to gain a Charge when you kill an enemy ; Creates Ignited Ground for 4 seconds when used, Igniting enemies as though dealing Fire damage equal to 500% of your maximum Life</t>
  </si>
  <si>
    <t>Gains (0.15-0.2) Charges per Second ; Creates Consecrated Ground on use</t>
  </si>
  <si>
    <t>Has no Attribute Requirements ; (100-150)% increased Evasion and Energy Shield ; +(13-17)% to Chaos Resistance ; Equipment has no Attribute Requirements ; Skill Gems have no Attribute Requirements ; (+1 mod de ataque/utilidade que não importa para o zoo)</t>
  </si>
  <si>
    <t>(50-100)% increased Armour and Energy Shield ; +100 to Spirit ; +(5-15)% to all Elemental Resistances ; (+1 mod de ataque/utilidade que não importa para o zoo)</t>
  </si>
  <si>
    <t>+(15-20) to Strength ; Giant's Blood ; (+4 mods de ataque/utilidade que não importam para o zoo)</t>
  </si>
  <si>
    <t>+2 to Level of all Minion Skills ; +Spirit ; +Life ; +Resistências</t>
  </si>
  <si>
    <t>INTERLÚDIOS · 62 pontos principais  ·  árvore própria (zoos top, sem ataque)</t>
  </si>
  <si>
    <t>Bond of the Owl</t>
  </si>
  <si>
    <t>Gain 6% of Damage as Extra Cold Damage · Companions gain 12% Damage as extra Cold Damage</t>
  </si>
  <si>
    <t>Runeforged Elite Greathelm</t>
  </si>
  <si>
    <t>Runic Ward ; +Life ; +Resistências</t>
  </si>
  <si>
    <t>+(40-50) to Strength ; +(10-15)% to Cold Resistance ; 50% increased Flask Charges used ; 100% increased Flask Charges gained</t>
  </si>
  <si>
    <t>INÍCIO DO ATLAS · 88 pontos principais  ·  árvore própria (zoos top, sem ataque)</t>
  </si>
  <si>
    <t>Companions gain your Strength · +15 to Strength</t>
  </si>
  <si>
    <t>5% of Damage from Hits is taken from your Damageable Companion's Life before you · 20% increased Armour, Evasion and Energy Shield while your Companion is in your Presence</t>
  </si>
  <si>
    <t>Sic 'Em</t>
  </si>
  <si>
    <t>Companions deal 60% increased damage against Immobilised enemies</t>
  </si>
  <si>
    <t>The Fabled Stag</t>
  </si>
  <si>
    <t>40% increased Endurance, Frenzy and Power Charge Duration · +10 to Dexterity · Skills have 10% chance to not remove Charges but still count as consuming them</t>
  </si>
  <si>
    <t>Heartstopping</t>
  </si>
  <si>
    <t>+10 to Intelligence · 20% increased Critical Hit Chance</t>
  </si>
  <si>
    <t>The Howling Primate</t>
  </si>
  <si>
    <t>15% increased Presence Area of Effect · Aura Skills have 10% increased Magnitudes · +10 to Intelligence</t>
  </si>
  <si>
    <t>20% increased Evasion Rating · Gain Deflection Rating equal to 5% of Evasion Rating · 8% increased Dexterity</t>
  </si>
  <si>
    <t>Adds (13-15) to (22-25) Physical Damage ; +1 to Level of all Minion Skills ; (+2 mods de ataque/utilidade que não importam para o zoo)  |  até juntar para a Chober</t>
  </si>
  <si>
    <t>Runic Ward (Refutation) ; +Life ; +Resistências</t>
  </si>
  <si>
    <t>Runeforged Layered Vest</t>
  </si>
  <si>
    <t>Runic Ward ; +Evasion ; +Life</t>
  </si>
  <si>
    <t>Adorned Wraps</t>
  </si>
  <si>
    <t>Shamanistic Leggings</t>
  </si>
  <si>
    <t>Movement Speed ; +Life ; +Resistências ; +Evasion</t>
  </si>
  <si>
    <t>Linen Belt rare</t>
  </si>
  <si>
    <t>Adds (58-65) to (102-110) Physical Damage ; +(80-100) to maximum Mana ; +50 to Spirit ; +2 to Level of all Minion Skills ; Increases and Reductions to Minion Damage also affect you ; (+1 mod de ataque/utilidade que não importa para o zoo)  |  Sockets/versão: Runeforged  |  Giant's Blood (Treefingers) + The Vertex para usar com sceptre</t>
  </si>
  <si>
    <t>Runeforged Wanderer Shoes</t>
  </si>
  <si>
    <t>Movement Speed ; Runic Ward ; +Life ; +Resistências ; +Evasion</t>
  </si>
  <si>
    <t>+3 to Level of all Minion Skills ; +Spirit ; +Life ; +Resistências</t>
  </si>
  <si>
    <t>Heavy Belt rare</t>
  </si>
  <si>
    <t>T15+ (EFFIGY) · 98 pontos principais  ·  árvore própria (zoos top, sem ataque)</t>
  </si>
  <si>
    <t>7% increased Attributes</t>
  </si>
  <si>
    <t>You can wield Two-Handed Axes, Maces and Swords in one hand · Triple Attribute requirements of Martial Weapons · Inherent Life granted by Strength is halved</t>
  </si>
  <si>
    <t>Enduring Deflection</t>
  </si>
  <si>
    <t>20% increased Evasion Rating · Prevent +3% of Damage from Deflected Hits</t>
  </si>
  <si>
    <t>Avoiding Deflection</t>
  </si>
  <si>
    <t>-5% to amount of Damage Prevented by Deflection · 20% increased Deflection Rating</t>
  </si>
  <si>
    <t>The Winter Owl</t>
  </si>
  <si>
    <t>3% increased Evasion Rating per 10 Intelligence · Gain Accuracy Rating equal to your Intelligence · +10 to Intelligence</t>
  </si>
  <si>
    <t>30% increased Presence Area of Effect · Minions have 15% increased Area of Effect</t>
  </si>
  <si>
    <t>Adds (58-65) to (102-110) Physical Damage ; +(80-100) to maximum Mana ; +50 to Spirit ; +2 to Level of all Minion Skills ; Increases and Reductions to Minion Damage also affect you ; (+1 mod de ataque/utilidade que não importa para o zoo)  |  Sockets/versão: Runeforged</t>
  </si>
  <si>
    <t>(50-68)% increased Spirit ; Allies in your Presence Regenerate (51.4-99.1) Life per second ; +(6-12) to all Attributes ; Companions deal (50-98)% increased damage to your Marked targets ; You can have any number of Companions of different types  |  Sockets/versão: Primate Idol, Rabbit Idol</t>
  </si>
  <si>
    <t>Arma (Set 2)</t>
  </si>
  <si>
    <t>(60-90)% increased Physical Damage ; +(7-14) to Strength ; (+3 mods de ataque/utilidade que não importam para o zoo)  |  só pela Sanguine Revelry</t>
  </si>
  <si>
    <t>Desert Cap rare</t>
  </si>
  <si>
    <t>+Minion Skills ; +Life ; +Resistências ; +Evasion</t>
  </si>
  <si>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</si>
  <si>
    <t>Runeforged Gold Gloves</t>
  </si>
  <si>
    <t>Runic Ward ; +Life ; +Resistências ; +Evasion</t>
  </si>
  <si>
    <t>Anel rare</t>
  </si>
  <si>
    <t>Wide Belt rare</t>
  </si>
  <si>
    <t>Flask mana</t>
  </si>
  <si>
    <t>This Flask cannot be Used but applies its Effect constantly ; (70-80)% reduced Amount Recovered</t>
  </si>
  <si>
    <t>(60-90)% increased Physical Damage ; +(7-14) to Strength ; (+3 mods de ataque/utilidade que não importam para o zoo)</t>
  </si>
  <si>
    <t>Runeforged Pariah Mask</t>
  </si>
  <si>
    <t>+Minion Skills ; Runic Ward ; +Life ; +Resistências ; +Evasion</t>
  </si>
  <si>
    <t>Barbed Bracers rare</t>
  </si>
  <si>
    <t>Drakeskin Boots rare</t>
  </si>
  <si>
    <t>30% Movement Speed ; +Life ; +Resistências ; +Evasion</t>
  </si>
  <si>
    <t>+4 to Level of all Minion Skills ; +Spirit ; +Life ; +Resistências</t>
  </si>
  <si>
    <t>(+1 mod de ataque/utilidade que não importa para o zoo)</t>
  </si>
  <si>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</si>
  <si>
    <t>(20-25)% Chance to gain a Charge when you kill an enemy ; Energy Shield Recharge starts on use</t>
  </si>
  <si>
    <t>ARBITER / MIN-MAX · 121 pontos principais  ·  árvore própria (zoos top, sem ataque)</t>
  </si>
  <si>
    <t>The Wild Cat</t>
  </si>
  <si>
    <t>Gain Deflection Rating equal to 12% of Evasion Rating · 40% increased Evasion Rating while moving · +10 to Dexterity</t>
  </si>
  <si>
    <t>All Damage is taken from Mana before Life · 50% less Mana Recovery Rate</t>
  </si>
  <si>
    <t>Gain Deflection Rating equal to 8% of Evasion Rating · 8% faster start of Energy Shield Recharge · 10% increased Mana Cost Efficiency · 10% increased Reservation Efficiency of Minion Skills</t>
  </si>
  <si>
    <t>Beastial Skin</t>
  </si>
  <si>
    <t>100% increased Evasion Rating from Equipped Body Armour</t>
  </si>
  <si>
    <t>Lifelong Friend</t>
  </si>
  <si>
    <t>Minions Revive 35% faster if all your Minions are Companions</t>
  </si>
  <si>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</si>
  <si>
    <t>(+7 mods de ataque/utilidade que não importam para o zoo)</t>
  </si>
  <si>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</si>
  <si>
    <t>FONTES</t>
  </si>
  <si>
    <t>Pesquisadas em 15/09/2026. Preços de mercado mudam — por isso usamos faixas (Barato / Valor / Completo).</t>
  </si>
  <si>
    <t>Fonte</t>
  </si>
  <si>
    <t>Usado para</t>
  </si>
  <si>
    <t>Link</t>
  </si>
  <si>
    <t>Mattjestic — FASTEST 0.5.5 Spirit Walker (26 variantes)</t>
  </si>
  <si>
    <t>Rota Chober Chaber: gems, supports, itens e árvore por fase</t>
  </si>
  <si>
    <t>https://mobalytics.gg/poe-2/builds/1-button-crossbow-amazon-mattjestic</t>
  </si>
  <si>
    <t>Mattjestic — 0.5 Rare Beast Companions Tier-List</t>
  </si>
  <si>
    <t>Aura bots: custo de Spirit e localização</t>
  </si>
  <si>
    <t>https://mobalytics.gg/poe-2/profile/mattjestic-multigaming/guides/new-0-4-ultra-rare-beast-companion-farming-guide</t>
  </si>
  <si>
    <t>imortilize — Zoo Companion Huntress League Starter (v1.1.1, 05/09/2026)</t>
  </si>
  <si>
    <t>Leveling por ato, gems, quests, ascendência</t>
  </si>
  <si>
    <t>https://mobalytics.gg/poe-2/builds/companion-huntress-league-starter</t>
  </si>
  <si>
    <t>imortilize — T15+ Zoo Companion Huntress (0.5.5)</t>
  </si>
  <si>
    <t>T15 / Arbiter / Uber, gear, beasts, atlas</t>
  </si>
  <si>
    <t>https://mobalytics.gg/poe-2/builds/zoo-companion-huntress-imortilize</t>
  </si>
  <si>
    <t>Zizaran — Companion Spirit Walker (Maxroll, 0.5.4)</t>
  </si>
  <si>
    <t>Tricks de captura, crit Silverfist, idols, auras</t>
  </si>
  <si>
    <t>https://maxroll.gg/poe2/build-guides/companion-spirit-walker-build-guide</t>
  </si>
  <si>
    <t>PoE2DB — Spirit Walker</t>
  </si>
  <si>
    <t>Texto exato dos nós de ascendência</t>
  </si>
  <si>
    <t>https://poe2db.tw/us/Spirit_Walker</t>
  </si>
  <si>
    <t>PoE2DB — Darkness Enthroned / Tyranny's Grip / Trenchtimbre / Sylvan's Effigy</t>
  </si>
  <si>
    <t>Slot e mods dos uniques</t>
  </si>
  <si>
    <t>https://poe2db.tw/us/Darkness_Enthroned</t>
  </si>
  <si>
    <t>PoE2DB — Trusted Kinship / Easy Going / Inspiring Ally</t>
  </si>
  <si>
    <t>Texto dos passivos-chave</t>
  </si>
  <si>
    <t>https://poe2db.tw/us/Trusted_Kinship</t>
  </si>
  <si>
    <t>poe.ninja — Spirit Walker Forbidden Rites (builds + economia)</t>
  </si>
  <si>
    <t>Uso real de uniques, keystones, companions e preços</t>
  </si>
  <si>
    <t>https://poe.ninja/poe2/builds/forbiddenrites?class=Spirit%20Walker</t>
  </si>
  <si>
    <t>poe-vault — Spiritwalker Boss Companion Endgame</t>
  </si>
  <si>
    <t>Zekoa, mods desejados, reroll com Doryani</t>
  </si>
  <si>
    <t>https://www.poe-vault.com/poe2/huntress/spirit-walker/tamed-boss-beast-build-guide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</si>
</sst>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22" x14ac:knownFonts="1">
    <font>
      <sz val="11"/>
      <color theme="1"/>
      <name val="Calibri"/>
      <family val="2"/>
      <scheme val="minor"/>
    </font>
    <font>
      <b/>
      <sz val="18"/>
      <color rgb="FFFFFFFF"/>
      <name val="Arial"/>
    </font>
    <font>
      <i/>
      <sz val="10"/>
      <color rgb="FFCFE3DC"/>
      <name val="Arial"/>
    </font>
    <font>
      <b/>
      <sz val="12"/>
      <color rgb="FFFFFFFF"/>
      <name val="Arial"/>
    </font>
    <font>
      <b/>
      <sz val="10"/>
      <color rgb="FF1F2A27"/>
      <name val="Arial"/>
    </font>
    <font>
      <b/>
      <sz val="12"/>
      <color rgb="FF0000FF"/>
      <name val="Arial"/>
    </font>
    <font>
      <sz val="11"/>
      <color rgb="FF1F2A27"/>
      <name val="Arial"/>
    </font>
    <font>
      <b/>
      <sz val="14"/>
      <color rgb="FF3E9E86"/>
      <name val="Arial"/>
    </font>
    <font>
      <b/>
      <sz val="10"/>
      <color rgb="FFFFFFFF"/>
      <name val="Arial"/>
    </font>
    <font>
      <sz val="10"/>
      <color rgb="FF1F2A27"/>
      <name val="Arial"/>
    </font>
    <font>
      <sz val="8"/>
      <color rgb="FFAAAAAA"/>
      <name val="Arial"/>
    </font>
    <font>
      <b/>
      <sz val="10"/>
      <color rgb="FF3E9E86"/>
      <name val="Arial"/>
    </font>
    <font>
      <i/>
      <sz val="10"/>
      <color rgb="FF5E6B67"/>
      <name val="Arial"/>
    </font>
    <font>
      <b/>
      <sz val="10"/>
      <color rgb="FFB84A3A"/>
      <name val="Arial"/>
    </font>
    <font>
      <b/>
      <sz val="10"/>
      <color rgb="FF008000"/>
      <name val="Arial"/>
    </font>
    <font>
      <b/>
      <sz val="10"/>
      <color rgb="FF0000FF"/>
      <name val="Arial"/>
    </font>
    <font>
      <sz val="10"/>
      <color rgb="FF0000FF"/>
      <name val="Arial"/>
    </font>
    <font>
      <b/>
      <sz val="12"/>
      <color rgb="FF1F2A27"/>
      <name val="Arial"/>
    </font>
    <font>
      <b/>
      <sz val="10"/>
      <color rgb="FFC98E2B"/>
      <name val="Arial"/>
    </font>
    <font>
      <b/>
      <sz val="10"/>
      <color rgb="FFAF6025"/>
      <name val="Arial"/>
    </font>
    <font>
      <b/>
      <sz val="10"/>
      <color rgb="FF2E7D5B"/>
      <name val="Arial"/>
    </font>
    <font>
      <u/>
      <sz val="10"/>
      <color rgb="FF1F5FBF"/>
      <name val="Arial"/>
    </font>
  </fonts>
  <fills count="9">
    <fill>
      <patternFill patternType="none"/>
    </fill>
    <fill>
      <patternFill patternType="gray125"/>
    </fill>
    <fill>
      <patternFill patternType="solid">
        <fgColor rgb="FF13201C"/>
      </patternFill>
    </fill>
    <fill>
      <patternFill patternType="solid">
        <fgColor rgb="FFC98E2B"/>
      </patternFill>
    </fill>
    <fill>
      <patternFill patternType="solid">
        <fgColor rgb="FFFFF4C2"/>
      </patternFill>
    </fill>
    <fill>
      <patternFill patternType="solid">
        <fgColor rgb="FF3E9E86"/>
      </patternFill>
    </fill>
    <fill>
      <patternFill patternType="solid">
        <fgColor rgb="FF1B2B26"/>
      </patternFill>
    </fill>
    <fill>
      <patternFill patternType="solid">
        <fgColor rgb="FFB84A3A"/>
      </patternFill>
    </fill>
    <fill>
      <patternFill patternType="solid">
        <fgColor rgb="FFF7F8F5"/>
      </patternFill>
    </fill>
  </fills>
  <borders count="4">
    <border>
      <left/>
      <right/>
      <top/>
      <bottom/>
      <diagonal/>
    </border>
    <border>
      <left style="thin">
        <color rgb="FFC9D3CF"/>
      </left>
      <right style="thin">
        <color rgb="FFC9D3CF"/>
      </right>
      <top style="thin">
        <color rgb="FFC9D3CF"/>
      </top>
      <bottom style="thin">
        <color rgb="FFC9D3CF"/>
      </bottom>
      <diagonal/>
    </border>
    <border>
      <left/>
      <right/>
      <top style="thin">
        <color rgb="FFC9D3CF"/>
      </top>
      <bottom style="thin">
        <color rgb="FFC9D3CF"/>
      </bottom>
      <diagonal/>
    </border>
    <border>
      <left/>
      <right style="thin">
        <color rgb="FFC9D3CF"/>
      </right>
      <top style="thin">
        <color rgb="FFC9D3CF"/>
      </top>
      <bottom style="thin">
        <color rgb="FFC9D3CF"/>
      </bottom>
      <diagonal/>
    </border>
  </borders>
  <cellStyleXfs count="1">
    <xf numFmtId="0" fontId="0" fillId="0" borderId="0"/>
  </cellStyleXfs>
  <cellXfs count="65">
    <xf numFmtId="0" fontId="0" fillId="0" borderId="0" xfId="0"/>
    <xf numFmtId="0" fontId="4" fillId="0" borderId="0" xfId="0" applyFont="1"/>
    <xf numFmtId="0" fontId="5" fillId="4" borderId="1" xfId="0" applyFont="1" applyFill="1" applyBorder="1" applyAlignment="1">
      <alignment horizontal="center" vertical="center" wrapText="1"/>
    </xf>
    <xf numFmtId="0" fontId="4" fillId="0" borderId="1" xfId="0" applyFont="1" applyBorder="1"/>
    <xf numFmtId="0" fontId="8" fillId="6" borderId="1" xfId="0" applyFont="1" applyFill="1" applyBorder="1" applyAlignment="1">
      <alignment horizontal="center" vertical="center" wrapText="1"/>
    </xf>
    <xf numFmtId="0" fontId="4" fillId="0" borderId="1" xfId="0" applyFont="1" applyBorder="1" applyAlignment="1">
      <alignment vertical="top" wrapText="1"/>
    </xf>
    <xf numFmtId="0" fontId="9" fillId="0" borderId="1" xfId="0" applyFont="1" applyBorder="1" applyAlignment="1">
      <alignment vertical="top" wrapText="1"/>
    </xf>
    <xf numFmtId="0" fontId="9" fillId="0" borderId="1" xfId="0" applyFont="1" applyBorder="1" applyAlignment="1">
      <alignment horizontal="center" vertical="center" wrapText="1"/>
    </xf>
    <xf numFmtId="0" fontId="10" fillId="0" borderId="0" xfId="0" applyFont="1"/>
    <xf numFmtId="0" fontId="9" fillId="8" borderId="1" xfId="0" applyFont="1" applyFill="1" applyBorder="1" applyAlignment="1">
      <alignment horizontal="center" vertical="center" wrapText="1"/>
    </xf>
    <xf numFmtId="0" fontId="9" fillId="8" borderId="1" xfId="0" applyFont="1" applyFill="1" applyBorder="1" applyAlignment="1">
      <alignment vertical="top" wrapText="1"/>
    </xf>
    <xf numFmtId="0" fontId="4" fillId="8" borderId="1" xfId="0" applyFont="1" applyFill="1" applyBorder="1" applyAlignment="1">
      <alignment vertical="top" wrapText="1"/>
    </xf>
    <xf numFmtId="0" fontId="11" fillId="0" borderId="1" xfId="0" applyFont="1" applyBorder="1" applyAlignment="1">
      <alignment vertical="top" wrapText="1"/>
    </xf>
    <xf numFmtId="0" fontId="8" fillId="3" borderId="1" xfId="0" applyFont="1" applyFill="1" applyBorder="1" applyAlignment="1">
      <alignment horizontal="center" vertical="center" wrapText="1"/>
    </xf>
    <xf numFmtId="0" fontId="11" fillId="8" borderId="1" xfId="0" applyFont="1" applyFill="1" applyBorder="1" applyAlignment="1">
      <alignment vertical="top" wrapText="1"/>
    </xf>
    <xf numFmtId="0" fontId="13" fillId="0" borderId="1" xfId="0" applyFont="1" applyBorder="1" applyAlignment="1">
      <alignment vertical="top" wrapText="1"/>
    </xf>
    <xf numFmtId="0" fontId="14" fillId="0" borderId="1" xfId="0" applyFont="1" applyBorder="1" applyAlignment="1">
      <alignment horizontal="center" vertical="center" wrapText="1"/>
    </xf>
    <xf numFmtId="0" fontId="15" fillId="4" borderId="1" xfId="0" applyFont="1" applyFill="1" applyBorder="1" applyAlignment="1">
      <alignment horizontal="center" vertical="center" wrapText="1"/>
    </xf>
    <xf numFmtId="9" fontId="15" fillId="4" borderId="1" xfId="0" applyNumberFormat="1" applyFont="1" applyFill="1" applyBorder="1" applyAlignment="1">
      <alignment horizontal="center" vertical="center" wrapText="1"/>
    </xf>
    <xf numFmtId="9" fontId="0" fillId="0" borderId="0" xfId="0" applyNumberFormat="1"/>
    <xf numFmtId="0" fontId="15" fillId="4" borderId="1" xfId="0" applyFont="1" applyFill="1" applyBorder="1" applyAlignment="1">
      <alignment vertical="top" wrapText="1"/>
    </xf>
    <xf numFmtId="0" fontId="16" fillId="4" borderId="1" xfId="0" applyFont="1" applyFill="1" applyBorder="1" applyAlignment="1">
      <alignment vertical="top" wrapText="1"/>
    </xf>
    <xf numFmtId="164" fontId="4" fillId="0" borderId="1" xfId="0" applyNumberFormat="1" applyFont="1" applyBorder="1" applyAlignment="1">
      <alignment vertical="top" wrapText="1"/>
    </xf>
    <xf numFmtId="0" fontId="12" fillId="0" borderId="1" xfId="0" applyFont="1" applyBorder="1" applyAlignment="1">
      <alignment vertical="top" wrapText="1"/>
    </xf>
    <xf numFmtId="0" fontId="17" fillId="0" borderId="0" xfId="0" applyFont="1"/>
    <xf numFmtId="164" fontId="17" fillId="0" borderId="1" xfId="0" applyNumberFormat="1" applyFont="1" applyBorder="1"/>
    <xf numFmtId="9" fontId="17" fillId="0" borderId="1" xfId="0" applyNumberFormat="1" applyFont="1" applyBorder="1"/>
    <xf numFmtId="165" fontId="9" fillId="0" borderId="1" xfId="0" applyNumberFormat="1" applyFont="1" applyBorder="1" applyAlignment="1">
      <alignment horizontal="center" vertical="center" wrapText="1"/>
    </xf>
    <xf numFmtId="0" fontId="18"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0" xfId="0" applyFont="1"/>
    <xf numFmtId="0" fontId="18" fillId="0" borderId="1" xfId="0" applyFont="1" applyBorder="1" applyAlignment="1">
      <alignment vertical="top" wrapText="1"/>
    </xf>
    <xf numFmtId="0" fontId="4" fillId="0" borderId="0" xfId="0" applyFont="1" applyAlignment="1">
      <alignment vertical="top" wrapText="1"/>
    </xf>
    <xf numFmtId="0" fontId="9" fillId="0" borderId="1" xfId="0" applyFont="1" applyBorder="1"/>
    <xf numFmtId="9" fontId="0" fillId="0" borderId="1" xfId="0" applyNumberFormat="1" applyBorder="1"/>
    <xf numFmtId="0" fontId="19" fillId="0" borderId="1" xfId="0" applyFont="1" applyBorder="1" applyAlignment="1">
      <alignment vertical="top" wrapText="1"/>
    </xf>
    <xf numFmtId="166" fontId="9" fillId="0" borderId="1" xfId="0" applyNumberFormat="1" applyFont="1" applyBorder="1" applyAlignment="1">
      <alignment horizontal="center" vertical="center" wrapText="1"/>
    </xf>
    <xf numFmtId="9" fontId="9" fillId="0" borderId="1" xfId="0" applyNumberFormat="1" applyFont="1" applyBorder="1" applyAlignment="1">
      <alignment horizontal="center" vertical="center" wrapText="1"/>
    </xf>
    <xf numFmtId="166" fontId="9" fillId="0" borderId="1" xfId="0" applyNumberFormat="1" applyFont="1" applyBorder="1" applyAlignment="1">
      <alignment vertical="top" wrapText="1"/>
    </xf>
    <xf numFmtId="0" fontId="20" fillId="0" borderId="1" xfId="0" applyFont="1" applyBorder="1" applyAlignment="1">
      <alignment vertical="top" wrapText="1"/>
    </xf>
    <xf numFmtId="0" fontId="21" fillId="0" borderId="1" xfId="0" applyFont="1" applyBorder="1" applyAlignment="1">
      <alignment vertical="top" wrapText="1"/>
    </xf>
    <xf numFmtId="0" fontId="9" fillId="0" borderId="0" xfId="0" applyFont="1"/>
    <xf numFmtId="0" fontId="0" fillId="0" borderId="0" xfId="0"/>
    <xf numFmtId="0" fontId="9" fillId="0" borderId="1" xfId="0" applyFont="1" applyBorder="1" applyAlignment="1">
      <alignment vertical="top" wrapText="1"/>
    </xf>
    <xf numFmtId="0" fontId="0" fillId="0" borderId="2" xfId="0" applyBorder="1"/>
    <xf numFmtId="0" fontId="0" fillId="0" borderId="3" xfId="0" applyBorder="1"/>
    <xf numFmtId="9" fontId="6" fillId="0" borderId="1" xfId="0" applyNumberFormat="1" applyFont="1" applyBorder="1" applyAlignment="1">
      <alignment vertical="center" wrapText="1"/>
    </xf>
    <xf numFmtId="0" fontId="0" fillId="0" borderId="1" xfId="0" applyBorder="1"/>
    <xf numFmtId="0" fontId="6" fillId="0" borderId="1" xfId="0" applyFont="1" applyBorder="1" applyAlignment="1">
      <alignment vertical="center" wrapText="1"/>
    </xf>
    <xf numFmtId="0" fontId="2" fillId="2" borderId="0" xfId="0" applyFont="1" applyFill="1" applyAlignment="1">
      <alignment vertical="center" wrapText="1" indent="1"/>
    </xf>
    <xf numFmtId="0" fontId="0" fillId="2" borderId="0" xfId="0" applyFill="1"/>
    <xf numFmtId="0" fontId="8" fillId="6" borderId="1" xfId="0" applyFont="1" applyFill="1" applyBorder="1" applyAlignment="1">
      <alignment horizontal="center" vertical="center" wrapText="1"/>
    </xf>
    <xf numFmtId="0" fontId="3" fillId="3" borderId="0" xfId="0" applyFont="1" applyFill="1" applyAlignment="1">
      <alignment vertical="center" indent="1"/>
    </xf>
    <xf numFmtId="0" fontId="0" fillId="3" borderId="0" xfId="0" applyFill="1"/>
    <xf numFmtId="0" fontId="3" fillId="5" borderId="0" xfId="0" applyFont="1" applyFill="1" applyAlignment="1">
      <alignment vertical="center" indent="1"/>
    </xf>
    <xf numFmtId="0" fontId="0" fillId="5" borderId="0" xfId="0" applyFill="1"/>
    <xf numFmtId="0" fontId="3" fillId="7" borderId="0" xfId="0" applyFont="1" applyFill="1" applyAlignment="1">
      <alignment vertical="center" indent="1"/>
    </xf>
    <xf numFmtId="0" fontId="0" fillId="7" borderId="0" xfId="0" applyFill="1"/>
    <xf numFmtId="0" fontId="7" fillId="0" borderId="1" xfId="0" applyFont="1" applyBorder="1" applyAlignment="1">
      <alignment vertical="center" wrapText="1"/>
    </xf>
    <xf numFmtId="0" fontId="1" fillId="2" borderId="0" xfId="0" applyFont="1" applyFill="1" applyAlignment="1">
      <alignment vertical="center" indent="1"/>
    </xf>
    <xf numFmtId="0" fontId="0" fillId="0" borderId="1" xfId="0" applyBorder="1" applyAlignment="1">
      <alignment vertical="top" wrapText="1"/>
    </xf>
    <xf numFmtId="0" fontId="8" fillId="3" borderId="1" xfId="0" applyFont="1" applyFill="1" applyBorder="1" applyAlignment="1">
      <alignment horizontal="center" vertical="center" wrapText="1"/>
    </xf>
    <xf numFmtId="0" fontId="0" fillId="0" borderId="0" xfId="0" applyAlignment="1">
      <alignment vertical="top" wrapText="1"/>
    </xf>
    <xf numFmtId="0" fontId="12" fillId="0" borderId="0" xfId="0" applyFont="1"/>
    <xf numFmtId="0" fontId="17" fillId="0" borderId="0" xfId="0" applyFont="1"/>
  </cellXfs>
  <cellStyles count="1">
    <cellStyle name="Normal" xfId="0" builtinId="0"/>
  </cellStyles>
  <dxfs count="16">
    <dxf>
      <fill>
        <patternFill patternType="solid">
          <fgColor rgb="FFF6DDD8"/>
        </patternFill>
      </fill>
    </dxf>
    <dxf>
      <fill>
        <patternFill patternType="solid">
          <fgColor rgb="FFFBEFD6"/>
        </patternFill>
      </fill>
    </dxf>
    <dxf>
      <fill>
        <patternFill patternType="solid">
          <fgColor rgb="FFDDF0E6"/>
        </patternFill>
      </fill>
    </dxf>
    <dxf>
      <fill>
        <patternFill patternType="solid">
          <fgColor rgb="FFF6DDD8"/>
        </patternFill>
      </fill>
    </dxf>
    <dxf>
      <fill>
        <patternFill patternType="solid">
          <fgColor rgb="FFFBEFD6"/>
        </patternFill>
      </fill>
    </dxf>
    <dxf>
      <fill>
        <patternFill patternType="solid">
          <fgColor rgb="FFDDF0E6"/>
        </patternFill>
      </fill>
    </dxf>
    <dxf>
      <font>
        <b/>
        <color rgb="FF2E7D5B"/>
        <name val="Arial"/>
      </font>
      <fill>
        <patternFill patternType="solid">
          <fgColor rgb="FFDDF0E6"/>
        </patternFill>
      </fill>
    </dxf>
    <dxf>
      <font>
        <b/>
        <color rgb="FFB84A3A"/>
        <name val="Arial"/>
      </font>
      <fill>
        <patternFill patternType="solid">
          <fgColor rgb="FFF6DDD8"/>
        </patternFill>
      </fill>
    </dxf>
    <dxf>
      <font>
        <strike/>
        <color rgb="FF9AA5A1"/>
        <name val="Arial"/>
      </font>
    </dxf>
    <dxf>
      <font>
        <b/>
        <color rgb="FF2E7D5B"/>
        <name val="Arial"/>
      </font>
      <fill>
        <patternFill patternType="solid">
          <fgColor rgb="FFDDF0E6"/>
        </patternFill>
      </fill>
    </dxf>
    <dxf>
      <font>
        <b/>
        <color rgb="FFB84A3A"/>
        <name val="Arial"/>
      </font>
      <fill>
        <patternFill patternType="solid">
          <fgColor rgb="FFF6DDD8"/>
        </patternFill>
      </fill>
    </dxf>
    <dxf>
      <font>
        <b/>
        <color rgb="FFB84A3A"/>
        <name val="Arial"/>
      </font>
      <fill>
        <patternFill patternType="solid">
          <fgColor rgb="FFF6DDD8"/>
        </patternFill>
      </fill>
    </dxf>
    <dxf>
      <fill>
        <patternFill patternType="solid">
          <fgColor rgb="FFFBEFD6"/>
        </patternFill>
      </fill>
    </dxf>
    <dxf>
      <font>
        <b/>
        <color rgb="FF2E7D5B"/>
        <name val="Arial"/>
      </font>
      <fill>
        <patternFill patternType="solid">
          <fgColor rgb="FFDDF0E6"/>
        </patternFill>
      </fill>
    </dxf>
    <dxf>
      <font>
        <b/>
        <color rgb="FF7A5210"/>
        <name val="Arial"/>
      </font>
      <fill>
        <patternFill patternType="solid">
          <fgColor rgb="FFFBEFD6"/>
        </patternFill>
      </fill>
    </dxf>
    <dxf>
      <font>
        <b/>
        <color rgb="FF7A5210"/>
        <name val="Arial"/>
      </font>
      <fill>
        <patternFill patternType="solid">
          <fgColor rgb="FFFBEFD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3" Type="http://schemas.openxmlformats.org/officeDocument/2006/relationships/image" Target="../media/image17.png"/><Relationship Id="rId18" Type="http://schemas.openxmlformats.org/officeDocument/2006/relationships/image" Target="../media/image22.png"/><Relationship Id="rId26" Type="http://schemas.openxmlformats.org/officeDocument/2006/relationships/image" Target="../media/image30.png"/><Relationship Id="rId39" Type="http://schemas.openxmlformats.org/officeDocument/2006/relationships/image" Target="../media/image43.png"/><Relationship Id="rId21" Type="http://schemas.openxmlformats.org/officeDocument/2006/relationships/image" Target="../media/image25.png"/><Relationship Id="rId34" Type="http://schemas.openxmlformats.org/officeDocument/2006/relationships/image" Target="../media/image38.png"/><Relationship Id="rId42" Type="http://schemas.openxmlformats.org/officeDocument/2006/relationships/image" Target="../media/image46.png"/><Relationship Id="rId47" Type="http://schemas.openxmlformats.org/officeDocument/2006/relationships/image" Target="../media/image51.png"/><Relationship Id="rId50" Type="http://schemas.openxmlformats.org/officeDocument/2006/relationships/image" Target="../media/image54.png"/><Relationship Id="rId7" Type="http://schemas.openxmlformats.org/officeDocument/2006/relationships/image" Target="../media/image11.png"/><Relationship Id="rId2" Type="http://schemas.openxmlformats.org/officeDocument/2006/relationships/image" Target="../media/image6.png"/><Relationship Id="rId16" Type="http://schemas.openxmlformats.org/officeDocument/2006/relationships/image" Target="../media/image20.png"/><Relationship Id="rId29" Type="http://schemas.openxmlformats.org/officeDocument/2006/relationships/image" Target="../media/image33.png"/><Relationship Id="rId11" Type="http://schemas.openxmlformats.org/officeDocument/2006/relationships/image" Target="../media/image15.png"/><Relationship Id="rId24" Type="http://schemas.openxmlformats.org/officeDocument/2006/relationships/image" Target="../media/image28.png"/><Relationship Id="rId32" Type="http://schemas.openxmlformats.org/officeDocument/2006/relationships/image" Target="../media/image36.png"/><Relationship Id="rId37" Type="http://schemas.openxmlformats.org/officeDocument/2006/relationships/image" Target="../media/image41.png"/><Relationship Id="rId40" Type="http://schemas.openxmlformats.org/officeDocument/2006/relationships/image" Target="../media/image44.png"/><Relationship Id="rId45" Type="http://schemas.openxmlformats.org/officeDocument/2006/relationships/image" Target="../media/image49.png"/><Relationship Id="rId5" Type="http://schemas.openxmlformats.org/officeDocument/2006/relationships/image" Target="../media/image9.png"/><Relationship Id="rId15" Type="http://schemas.openxmlformats.org/officeDocument/2006/relationships/image" Target="../media/image19.png"/><Relationship Id="rId23" Type="http://schemas.openxmlformats.org/officeDocument/2006/relationships/image" Target="../media/image27.png"/><Relationship Id="rId28" Type="http://schemas.openxmlformats.org/officeDocument/2006/relationships/image" Target="../media/image32.png"/><Relationship Id="rId36" Type="http://schemas.openxmlformats.org/officeDocument/2006/relationships/image" Target="../media/image40.png"/><Relationship Id="rId49" Type="http://schemas.openxmlformats.org/officeDocument/2006/relationships/image" Target="../media/image53.png"/><Relationship Id="rId10" Type="http://schemas.openxmlformats.org/officeDocument/2006/relationships/image" Target="../media/image14.png"/><Relationship Id="rId19" Type="http://schemas.openxmlformats.org/officeDocument/2006/relationships/image" Target="../media/image23.png"/><Relationship Id="rId31" Type="http://schemas.openxmlformats.org/officeDocument/2006/relationships/image" Target="../media/image35.png"/><Relationship Id="rId44" Type="http://schemas.openxmlformats.org/officeDocument/2006/relationships/image" Target="../media/image48.png"/><Relationship Id="rId4" Type="http://schemas.openxmlformats.org/officeDocument/2006/relationships/image" Target="../media/image8.png"/><Relationship Id="rId9" Type="http://schemas.openxmlformats.org/officeDocument/2006/relationships/image" Target="../media/image13.png"/><Relationship Id="rId14" Type="http://schemas.openxmlformats.org/officeDocument/2006/relationships/image" Target="../media/image18.png"/><Relationship Id="rId22" Type="http://schemas.openxmlformats.org/officeDocument/2006/relationships/image" Target="../media/image26.png"/><Relationship Id="rId27" Type="http://schemas.openxmlformats.org/officeDocument/2006/relationships/image" Target="../media/image31.png"/><Relationship Id="rId30" Type="http://schemas.openxmlformats.org/officeDocument/2006/relationships/image" Target="../media/image34.png"/><Relationship Id="rId35" Type="http://schemas.openxmlformats.org/officeDocument/2006/relationships/image" Target="../media/image39.png"/><Relationship Id="rId43" Type="http://schemas.openxmlformats.org/officeDocument/2006/relationships/image" Target="../media/image47.png"/><Relationship Id="rId48" Type="http://schemas.openxmlformats.org/officeDocument/2006/relationships/image" Target="../media/image52.png"/><Relationship Id="rId8" Type="http://schemas.openxmlformats.org/officeDocument/2006/relationships/image" Target="../media/image12.png"/><Relationship Id="rId51" Type="http://schemas.openxmlformats.org/officeDocument/2006/relationships/image" Target="../media/image55.png"/><Relationship Id="rId3" Type="http://schemas.openxmlformats.org/officeDocument/2006/relationships/image" Target="../media/image7.png"/><Relationship Id="rId12" Type="http://schemas.openxmlformats.org/officeDocument/2006/relationships/image" Target="../media/image16.png"/><Relationship Id="rId17" Type="http://schemas.openxmlformats.org/officeDocument/2006/relationships/image" Target="../media/image21.png"/><Relationship Id="rId25" Type="http://schemas.openxmlformats.org/officeDocument/2006/relationships/image" Target="../media/image29.png"/><Relationship Id="rId33" Type="http://schemas.openxmlformats.org/officeDocument/2006/relationships/image" Target="../media/image37.png"/><Relationship Id="rId38" Type="http://schemas.openxmlformats.org/officeDocument/2006/relationships/image" Target="../media/image42.png"/><Relationship Id="rId46" Type="http://schemas.openxmlformats.org/officeDocument/2006/relationships/image" Target="../media/image50.png"/><Relationship Id="rId20" Type="http://schemas.openxmlformats.org/officeDocument/2006/relationships/image" Target="../media/image24.png"/><Relationship Id="rId41" Type="http://schemas.openxmlformats.org/officeDocument/2006/relationships/image" Target="../media/image45.png"/><Relationship Id="rId1" Type="http://schemas.openxmlformats.org/officeDocument/2006/relationships/image" Target="../media/image5.png"/><Relationship Id="rId6" Type="http://schemas.openxmlformats.org/officeDocument/2006/relationships/image" Target="../media/image10.png"/></Relationships>
</file>

<file path=xl/drawings/_rels/drawing3.xml.rels><?xml version="1.0" encoding="UTF-8" standalone="yes"?>
<Relationships xmlns="http://schemas.openxmlformats.org/package/2006/relationships"><Relationship Id="rId26" Type="http://schemas.openxmlformats.org/officeDocument/2006/relationships/image" Target="../media/image81.png"/><Relationship Id="rId21" Type="http://schemas.openxmlformats.org/officeDocument/2006/relationships/image" Target="../media/image76.png"/><Relationship Id="rId42" Type="http://schemas.openxmlformats.org/officeDocument/2006/relationships/image" Target="../media/image97.png"/><Relationship Id="rId47" Type="http://schemas.openxmlformats.org/officeDocument/2006/relationships/image" Target="../media/image102.png"/><Relationship Id="rId63" Type="http://schemas.openxmlformats.org/officeDocument/2006/relationships/image" Target="../media/image118.png"/><Relationship Id="rId68" Type="http://schemas.openxmlformats.org/officeDocument/2006/relationships/image" Target="../media/image123.png"/><Relationship Id="rId16" Type="http://schemas.openxmlformats.org/officeDocument/2006/relationships/image" Target="../media/image71.png"/><Relationship Id="rId11" Type="http://schemas.openxmlformats.org/officeDocument/2006/relationships/image" Target="../media/image66.png"/><Relationship Id="rId24" Type="http://schemas.openxmlformats.org/officeDocument/2006/relationships/image" Target="../media/image79.png"/><Relationship Id="rId32" Type="http://schemas.openxmlformats.org/officeDocument/2006/relationships/image" Target="../media/image87.png"/><Relationship Id="rId37" Type="http://schemas.openxmlformats.org/officeDocument/2006/relationships/image" Target="../media/image92.png"/><Relationship Id="rId40" Type="http://schemas.openxmlformats.org/officeDocument/2006/relationships/image" Target="../media/image95.png"/><Relationship Id="rId45" Type="http://schemas.openxmlformats.org/officeDocument/2006/relationships/image" Target="../media/image100.png"/><Relationship Id="rId53" Type="http://schemas.openxmlformats.org/officeDocument/2006/relationships/image" Target="../media/image108.png"/><Relationship Id="rId58" Type="http://schemas.openxmlformats.org/officeDocument/2006/relationships/image" Target="../media/image113.png"/><Relationship Id="rId66" Type="http://schemas.openxmlformats.org/officeDocument/2006/relationships/image" Target="../media/image121.png"/><Relationship Id="rId74" Type="http://schemas.openxmlformats.org/officeDocument/2006/relationships/image" Target="../media/image129.png"/><Relationship Id="rId79" Type="http://schemas.openxmlformats.org/officeDocument/2006/relationships/image" Target="../media/image134.png"/><Relationship Id="rId5" Type="http://schemas.openxmlformats.org/officeDocument/2006/relationships/image" Target="../media/image60.png"/><Relationship Id="rId61" Type="http://schemas.openxmlformats.org/officeDocument/2006/relationships/image" Target="../media/image116.png"/><Relationship Id="rId19" Type="http://schemas.openxmlformats.org/officeDocument/2006/relationships/image" Target="../media/image74.png"/><Relationship Id="rId14" Type="http://schemas.openxmlformats.org/officeDocument/2006/relationships/image" Target="../media/image69.png"/><Relationship Id="rId22" Type="http://schemas.openxmlformats.org/officeDocument/2006/relationships/image" Target="../media/image77.png"/><Relationship Id="rId27" Type="http://schemas.openxmlformats.org/officeDocument/2006/relationships/image" Target="../media/image82.png"/><Relationship Id="rId30" Type="http://schemas.openxmlformats.org/officeDocument/2006/relationships/image" Target="../media/image85.png"/><Relationship Id="rId35" Type="http://schemas.openxmlformats.org/officeDocument/2006/relationships/image" Target="../media/image90.png"/><Relationship Id="rId43" Type="http://schemas.openxmlformats.org/officeDocument/2006/relationships/image" Target="../media/image98.png"/><Relationship Id="rId48" Type="http://schemas.openxmlformats.org/officeDocument/2006/relationships/image" Target="../media/image103.png"/><Relationship Id="rId56" Type="http://schemas.openxmlformats.org/officeDocument/2006/relationships/image" Target="../media/image111.png"/><Relationship Id="rId64" Type="http://schemas.openxmlformats.org/officeDocument/2006/relationships/image" Target="../media/image119.png"/><Relationship Id="rId69" Type="http://schemas.openxmlformats.org/officeDocument/2006/relationships/image" Target="../media/image124.png"/><Relationship Id="rId77" Type="http://schemas.openxmlformats.org/officeDocument/2006/relationships/image" Target="../media/image132.png"/><Relationship Id="rId8" Type="http://schemas.openxmlformats.org/officeDocument/2006/relationships/image" Target="../media/image63.png"/><Relationship Id="rId51" Type="http://schemas.openxmlformats.org/officeDocument/2006/relationships/image" Target="../media/image106.png"/><Relationship Id="rId72" Type="http://schemas.openxmlformats.org/officeDocument/2006/relationships/image" Target="../media/image127.png"/><Relationship Id="rId3" Type="http://schemas.openxmlformats.org/officeDocument/2006/relationships/image" Target="../media/image58.png"/><Relationship Id="rId12" Type="http://schemas.openxmlformats.org/officeDocument/2006/relationships/image" Target="../media/image67.png"/><Relationship Id="rId17" Type="http://schemas.openxmlformats.org/officeDocument/2006/relationships/image" Target="../media/image72.png"/><Relationship Id="rId25" Type="http://schemas.openxmlformats.org/officeDocument/2006/relationships/image" Target="../media/image80.png"/><Relationship Id="rId33" Type="http://schemas.openxmlformats.org/officeDocument/2006/relationships/image" Target="../media/image88.png"/><Relationship Id="rId38" Type="http://schemas.openxmlformats.org/officeDocument/2006/relationships/image" Target="../media/image93.png"/><Relationship Id="rId46" Type="http://schemas.openxmlformats.org/officeDocument/2006/relationships/image" Target="../media/image101.png"/><Relationship Id="rId59" Type="http://schemas.openxmlformats.org/officeDocument/2006/relationships/image" Target="../media/image114.png"/><Relationship Id="rId67" Type="http://schemas.openxmlformats.org/officeDocument/2006/relationships/image" Target="../media/image122.png"/><Relationship Id="rId20" Type="http://schemas.openxmlformats.org/officeDocument/2006/relationships/image" Target="../media/image75.png"/><Relationship Id="rId41" Type="http://schemas.openxmlformats.org/officeDocument/2006/relationships/image" Target="../media/image96.png"/><Relationship Id="rId54" Type="http://schemas.openxmlformats.org/officeDocument/2006/relationships/image" Target="../media/image109.png"/><Relationship Id="rId62" Type="http://schemas.openxmlformats.org/officeDocument/2006/relationships/image" Target="../media/image117.png"/><Relationship Id="rId70" Type="http://schemas.openxmlformats.org/officeDocument/2006/relationships/image" Target="../media/image125.png"/><Relationship Id="rId75" Type="http://schemas.openxmlformats.org/officeDocument/2006/relationships/image" Target="../media/image130.png"/><Relationship Id="rId1" Type="http://schemas.openxmlformats.org/officeDocument/2006/relationships/image" Target="../media/image56.png"/><Relationship Id="rId6" Type="http://schemas.openxmlformats.org/officeDocument/2006/relationships/image" Target="../media/image61.png"/><Relationship Id="rId15" Type="http://schemas.openxmlformats.org/officeDocument/2006/relationships/image" Target="../media/image70.png"/><Relationship Id="rId23" Type="http://schemas.openxmlformats.org/officeDocument/2006/relationships/image" Target="../media/image78.png"/><Relationship Id="rId28" Type="http://schemas.openxmlformats.org/officeDocument/2006/relationships/image" Target="../media/image83.png"/><Relationship Id="rId36" Type="http://schemas.openxmlformats.org/officeDocument/2006/relationships/image" Target="../media/image91.png"/><Relationship Id="rId49" Type="http://schemas.openxmlformats.org/officeDocument/2006/relationships/image" Target="../media/image104.png"/><Relationship Id="rId57" Type="http://schemas.openxmlformats.org/officeDocument/2006/relationships/image" Target="../media/image112.png"/><Relationship Id="rId10" Type="http://schemas.openxmlformats.org/officeDocument/2006/relationships/image" Target="../media/image65.png"/><Relationship Id="rId31" Type="http://schemas.openxmlformats.org/officeDocument/2006/relationships/image" Target="../media/image86.png"/><Relationship Id="rId44" Type="http://schemas.openxmlformats.org/officeDocument/2006/relationships/image" Target="../media/image99.png"/><Relationship Id="rId52" Type="http://schemas.openxmlformats.org/officeDocument/2006/relationships/image" Target="../media/image107.png"/><Relationship Id="rId60" Type="http://schemas.openxmlformats.org/officeDocument/2006/relationships/image" Target="../media/image115.png"/><Relationship Id="rId65" Type="http://schemas.openxmlformats.org/officeDocument/2006/relationships/image" Target="../media/image120.png"/><Relationship Id="rId73" Type="http://schemas.openxmlformats.org/officeDocument/2006/relationships/image" Target="../media/image128.png"/><Relationship Id="rId78" Type="http://schemas.openxmlformats.org/officeDocument/2006/relationships/image" Target="../media/image133.png"/><Relationship Id="rId4" Type="http://schemas.openxmlformats.org/officeDocument/2006/relationships/image" Target="../media/image59.png"/><Relationship Id="rId9" Type="http://schemas.openxmlformats.org/officeDocument/2006/relationships/image" Target="../media/image64.png"/><Relationship Id="rId13" Type="http://schemas.openxmlformats.org/officeDocument/2006/relationships/image" Target="../media/image68.png"/><Relationship Id="rId18" Type="http://schemas.openxmlformats.org/officeDocument/2006/relationships/image" Target="../media/image73.png"/><Relationship Id="rId39" Type="http://schemas.openxmlformats.org/officeDocument/2006/relationships/image" Target="../media/image94.png"/><Relationship Id="rId34" Type="http://schemas.openxmlformats.org/officeDocument/2006/relationships/image" Target="../media/image89.png"/><Relationship Id="rId50" Type="http://schemas.openxmlformats.org/officeDocument/2006/relationships/image" Target="../media/image105.png"/><Relationship Id="rId55" Type="http://schemas.openxmlformats.org/officeDocument/2006/relationships/image" Target="../media/image110.png"/><Relationship Id="rId76" Type="http://schemas.openxmlformats.org/officeDocument/2006/relationships/image" Target="../media/image131.png"/><Relationship Id="rId7" Type="http://schemas.openxmlformats.org/officeDocument/2006/relationships/image" Target="../media/image62.png"/><Relationship Id="rId71" Type="http://schemas.openxmlformats.org/officeDocument/2006/relationships/image" Target="../media/image126.png"/><Relationship Id="rId2" Type="http://schemas.openxmlformats.org/officeDocument/2006/relationships/image" Target="../media/image57.png"/><Relationship Id="rId29" Type="http://schemas.openxmlformats.org/officeDocument/2006/relationships/image" Target="../media/image84.png"/></Relationships>
</file>

<file path=xl/drawings/drawing1.xml><?xml version="1.0" encoding="utf-8"?>
<xdr:wsDr xmlns:xdr="http://schemas.openxmlformats.org/drawingml/2006/spreadsheetDrawing" xmlns:a="http://schemas.openxmlformats.org/drawingml/2006/main">
  <xdr:oneCellAnchor>
    <xdr:from>
      <xdr:col>3</xdr:col>
      <xdr:colOff>0</xdr:colOff>
      <xdr:row>16</xdr:row>
      <xdr:rowOff>0</xdr:rowOff>
    </xdr:from>
    <xdr:ext cx="1419225" cy="1685925"/>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3</xdr:col>
      <xdr:colOff>0</xdr:colOff>
      <xdr:row>17</xdr:row>
      <xdr:rowOff>0</xdr:rowOff>
    </xdr:from>
    <xdr:ext cx="1428750" cy="1190625"/>
    <xdr:pic>
      <xdr:nvPicPr>
        <xdr:cNvPr id="3" name="Image 2" descr="Picture">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3</xdr:col>
      <xdr:colOff>0</xdr:colOff>
      <xdr:row>18</xdr:row>
      <xdr:rowOff>0</xdr:rowOff>
    </xdr:from>
    <xdr:ext cx="1428750" cy="1685925"/>
    <xdr:pic>
      <xdr:nvPicPr>
        <xdr:cNvPr id="4" name="Image 3" descr="Picture">
          <a:extLst>
            <a:ext uri="{FF2B5EF4-FFF2-40B4-BE49-F238E27FC236}">
              <a16:creationId xmlns:a16="http://schemas.microsoft.com/office/drawing/2014/main" id="{00000000-0008-0000-0B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3</xdr:col>
      <xdr:colOff>0</xdr:colOff>
      <xdr:row>19</xdr:row>
      <xdr:rowOff>0</xdr:rowOff>
    </xdr:from>
    <xdr:ext cx="1419225" cy="1381125"/>
    <xdr:pic>
      <xdr:nvPicPr>
        <xdr:cNvPr id="5" name="Image 4" descr="Picture">
          <a:extLst>
            <a:ext uri="{FF2B5EF4-FFF2-40B4-BE49-F238E27FC236}">
              <a16:creationId xmlns:a16="http://schemas.microsoft.com/office/drawing/2014/main" id="{00000000-0008-0000-0B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xdr:row>
      <xdr:rowOff>0</xdr:rowOff>
    </xdr:from>
    <xdr:ext cx="104775" cy="419100"/>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4</xdr:row>
      <xdr:rowOff>0</xdr:rowOff>
    </xdr:from>
    <xdr:ext cx="285750" cy="419100"/>
    <xdr:pic>
      <xdr:nvPicPr>
        <xdr:cNvPr id="3" name="Image 2" descr="Picture">
          <a:extLst>
            <a:ext uri="{FF2B5EF4-FFF2-40B4-BE49-F238E27FC236}">
              <a16:creationId xmlns:a16="http://schemas.microsoft.com/office/drawing/2014/main" id="{00000000-0008-0000-0E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5</xdr:row>
      <xdr:rowOff>0</xdr:rowOff>
    </xdr:from>
    <xdr:ext cx="419100" cy="419100"/>
    <xdr:pic>
      <xdr:nvPicPr>
        <xdr:cNvPr id="4" name="Image 3" descr="Picture">
          <a:extLst>
            <a:ext uri="{FF2B5EF4-FFF2-40B4-BE49-F238E27FC236}">
              <a16:creationId xmlns:a16="http://schemas.microsoft.com/office/drawing/2014/main" id="{00000000-0008-0000-0E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6</xdr:row>
      <xdr:rowOff>0</xdr:rowOff>
    </xdr:from>
    <xdr:ext cx="419100" cy="419100"/>
    <xdr:pic>
      <xdr:nvPicPr>
        <xdr:cNvPr id="5" name="Image 4" descr="Picture">
          <a:extLst>
            <a:ext uri="{FF2B5EF4-FFF2-40B4-BE49-F238E27FC236}">
              <a16:creationId xmlns:a16="http://schemas.microsoft.com/office/drawing/2014/main" id="{00000000-0008-0000-0E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7</xdr:row>
      <xdr:rowOff>0</xdr:rowOff>
    </xdr:from>
    <xdr:ext cx="419100" cy="419100"/>
    <xdr:pic>
      <xdr:nvPicPr>
        <xdr:cNvPr id="6" name="Image 5" descr="Picture">
          <a:extLst>
            <a:ext uri="{FF2B5EF4-FFF2-40B4-BE49-F238E27FC236}">
              <a16:creationId xmlns:a16="http://schemas.microsoft.com/office/drawing/2014/main" id="{00000000-0008-0000-0E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8</xdr:row>
      <xdr:rowOff>0</xdr:rowOff>
    </xdr:from>
    <xdr:ext cx="419100" cy="400050"/>
    <xdr:pic>
      <xdr:nvPicPr>
        <xdr:cNvPr id="7" name="Image 6" descr="Picture">
          <a:extLst>
            <a:ext uri="{FF2B5EF4-FFF2-40B4-BE49-F238E27FC236}">
              <a16:creationId xmlns:a16="http://schemas.microsoft.com/office/drawing/2014/main" id="{00000000-0008-0000-0E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9</xdr:row>
      <xdr:rowOff>0</xdr:rowOff>
    </xdr:from>
    <xdr:ext cx="419100" cy="247650"/>
    <xdr:pic>
      <xdr:nvPicPr>
        <xdr:cNvPr id="8" name="Image 7" descr="Picture">
          <a:extLst>
            <a:ext uri="{FF2B5EF4-FFF2-40B4-BE49-F238E27FC236}">
              <a16:creationId xmlns:a16="http://schemas.microsoft.com/office/drawing/2014/main" id="{00000000-0008-0000-0E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10</xdr:row>
      <xdr:rowOff>0</xdr:rowOff>
    </xdr:from>
    <xdr:ext cx="104775" cy="419100"/>
    <xdr:pic>
      <xdr:nvPicPr>
        <xdr:cNvPr id="9" name="Image 8" descr="Picture">
          <a:extLst>
            <a:ext uri="{FF2B5EF4-FFF2-40B4-BE49-F238E27FC236}">
              <a16:creationId xmlns:a16="http://schemas.microsoft.com/office/drawing/2014/main" id="{00000000-0008-0000-0E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12</xdr:row>
      <xdr:rowOff>0</xdr:rowOff>
    </xdr:from>
    <xdr:ext cx="419100" cy="228600"/>
    <xdr:pic>
      <xdr:nvPicPr>
        <xdr:cNvPr id="10" name="Image 9" descr="Picture">
          <a:extLst>
            <a:ext uri="{FF2B5EF4-FFF2-40B4-BE49-F238E27FC236}">
              <a16:creationId xmlns:a16="http://schemas.microsoft.com/office/drawing/2014/main" id="{00000000-0008-0000-0E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13</xdr:row>
      <xdr:rowOff>0</xdr:rowOff>
    </xdr:from>
    <xdr:ext cx="209550" cy="419100"/>
    <xdr:pic>
      <xdr:nvPicPr>
        <xdr:cNvPr id="11" name="Image 10" descr="Picture">
          <a:extLst>
            <a:ext uri="{FF2B5EF4-FFF2-40B4-BE49-F238E27FC236}">
              <a16:creationId xmlns:a16="http://schemas.microsoft.com/office/drawing/2014/main" id="{00000000-0008-0000-0E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14</xdr:row>
      <xdr:rowOff>0</xdr:rowOff>
    </xdr:from>
    <xdr:ext cx="419100" cy="209550"/>
    <xdr:pic>
      <xdr:nvPicPr>
        <xdr:cNvPr id="12" name="Image 11" descr="Picture">
          <a:extLst>
            <a:ext uri="{FF2B5EF4-FFF2-40B4-BE49-F238E27FC236}">
              <a16:creationId xmlns:a16="http://schemas.microsoft.com/office/drawing/2014/main" id="{00000000-0008-0000-0E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15</xdr:row>
      <xdr:rowOff>0</xdr:rowOff>
    </xdr:from>
    <xdr:ext cx="419100" cy="409575"/>
    <xdr:pic>
      <xdr:nvPicPr>
        <xdr:cNvPr id="13" name="Image 12" descr="Picture">
          <a:extLst>
            <a:ext uri="{FF2B5EF4-FFF2-40B4-BE49-F238E27FC236}">
              <a16:creationId xmlns:a16="http://schemas.microsoft.com/office/drawing/2014/main" id="{00000000-0008-0000-0E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16</xdr:row>
      <xdr:rowOff>0</xdr:rowOff>
    </xdr:from>
    <xdr:ext cx="276225" cy="419100"/>
    <xdr:pic>
      <xdr:nvPicPr>
        <xdr:cNvPr id="14" name="Image 13" descr="Picture">
          <a:extLst>
            <a:ext uri="{FF2B5EF4-FFF2-40B4-BE49-F238E27FC236}">
              <a16:creationId xmlns:a16="http://schemas.microsoft.com/office/drawing/2014/main" id="{00000000-0008-0000-0E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0</xdr:col>
      <xdr:colOff>0</xdr:colOff>
      <xdr:row>17</xdr:row>
      <xdr:rowOff>0</xdr:rowOff>
    </xdr:from>
    <xdr:ext cx="419100" cy="419100"/>
    <xdr:pic>
      <xdr:nvPicPr>
        <xdr:cNvPr id="15" name="Image 14" descr="Picture">
          <a:extLst>
            <a:ext uri="{FF2B5EF4-FFF2-40B4-BE49-F238E27FC236}">
              <a16:creationId xmlns:a16="http://schemas.microsoft.com/office/drawing/2014/main" id="{00000000-0008-0000-0E00-00000F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18</xdr:row>
      <xdr:rowOff>0</xdr:rowOff>
    </xdr:from>
    <xdr:ext cx="419100" cy="419100"/>
    <xdr:pic>
      <xdr:nvPicPr>
        <xdr:cNvPr id="16" name="Image 15" descr="Picture">
          <a:extLst>
            <a:ext uri="{FF2B5EF4-FFF2-40B4-BE49-F238E27FC236}">
              <a16:creationId xmlns:a16="http://schemas.microsoft.com/office/drawing/2014/main" id="{00000000-0008-0000-0E00-000010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0</xdr:col>
      <xdr:colOff>0</xdr:colOff>
      <xdr:row>19</xdr:row>
      <xdr:rowOff>0</xdr:rowOff>
    </xdr:from>
    <xdr:ext cx="257175" cy="419100"/>
    <xdr:pic>
      <xdr:nvPicPr>
        <xdr:cNvPr id="17" name="Image 16" descr="Picture">
          <a:extLst>
            <a:ext uri="{FF2B5EF4-FFF2-40B4-BE49-F238E27FC236}">
              <a16:creationId xmlns:a16="http://schemas.microsoft.com/office/drawing/2014/main" id="{00000000-0008-0000-0E00-000011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20</xdr:row>
      <xdr:rowOff>0</xdr:rowOff>
    </xdr:from>
    <xdr:ext cx="390525" cy="419100"/>
    <xdr:pic>
      <xdr:nvPicPr>
        <xdr:cNvPr id="18" name="Image 17" descr="Picture">
          <a:extLst>
            <a:ext uri="{FF2B5EF4-FFF2-40B4-BE49-F238E27FC236}">
              <a16:creationId xmlns:a16="http://schemas.microsoft.com/office/drawing/2014/main" id="{00000000-0008-0000-0E00-000012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21</xdr:row>
      <xdr:rowOff>0</xdr:rowOff>
    </xdr:from>
    <xdr:ext cx="419100" cy="419100"/>
    <xdr:pic>
      <xdr:nvPicPr>
        <xdr:cNvPr id="19" name="Image 18" descr="Picture">
          <a:extLst>
            <a:ext uri="{FF2B5EF4-FFF2-40B4-BE49-F238E27FC236}">
              <a16:creationId xmlns:a16="http://schemas.microsoft.com/office/drawing/2014/main" id="{00000000-0008-0000-0E00-000013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22</xdr:row>
      <xdr:rowOff>0</xdr:rowOff>
    </xdr:from>
    <xdr:ext cx="419100" cy="419100"/>
    <xdr:pic>
      <xdr:nvPicPr>
        <xdr:cNvPr id="20" name="Image 19" descr="Picture">
          <a:extLst>
            <a:ext uri="{FF2B5EF4-FFF2-40B4-BE49-F238E27FC236}">
              <a16:creationId xmlns:a16="http://schemas.microsoft.com/office/drawing/2014/main" id="{00000000-0008-0000-0E00-000014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23</xdr:row>
      <xdr:rowOff>0</xdr:rowOff>
    </xdr:from>
    <xdr:ext cx="295275" cy="419100"/>
    <xdr:pic>
      <xdr:nvPicPr>
        <xdr:cNvPr id="21" name="Image 20" descr="Picture">
          <a:extLst>
            <a:ext uri="{FF2B5EF4-FFF2-40B4-BE49-F238E27FC236}">
              <a16:creationId xmlns:a16="http://schemas.microsoft.com/office/drawing/2014/main" id="{00000000-0008-0000-0E00-000015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24</xdr:row>
      <xdr:rowOff>0</xdr:rowOff>
    </xdr:from>
    <xdr:ext cx="419100" cy="419100"/>
    <xdr:pic>
      <xdr:nvPicPr>
        <xdr:cNvPr id="22" name="Image 21" descr="Picture">
          <a:extLst>
            <a:ext uri="{FF2B5EF4-FFF2-40B4-BE49-F238E27FC236}">
              <a16:creationId xmlns:a16="http://schemas.microsoft.com/office/drawing/2014/main" id="{00000000-0008-0000-0E00-000016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25</xdr:row>
      <xdr:rowOff>0</xdr:rowOff>
    </xdr:from>
    <xdr:ext cx="419100" cy="419100"/>
    <xdr:pic>
      <xdr:nvPicPr>
        <xdr:cNvPr id="23" name="Image 22" descr="Picture">
          <a:extLst>
            <a:ext uri="{FF2B5EF4-FFF2-40B4-BE49-F238E27FC236}">
              <a16:creationId xmlns:a16="http://schemas.microsoft.com/office/drawing/2014/main" id="{00000000-0008-0000-0E00-000017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26</xdr:row>
      <xdr:rowOff>0</xdr:rowOff>
    </xdr:from>
    <xdr:ext cx="104775" cy="419100"/>
    <xdr:pic>
      <xdr:nvPicPr>
        <xdr:cNvPr id="24" name="Image 23" descr="Picture">
          <a:extLst>
            <a:ext uri="{FF2B5EF4-FFF2-40B4-BE49-F238E27FC236}">
              <a16:creationId xmlns:a16="http://schemas.microsoft.com/office/drawing/2014/main" id="{00000000-0008-0000-0E00-000018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0</xdr:col>
      <xdr:colOff>0</xdr:colOff>
      <xdr:row>27</xdr:row>
      <xdr:rowOff>0</xdr:rowOff>
    </xdr:from>
    <xdr:ext cx="333375" cy="419100"/>
    <xdr:pic>
      <xdr:nvPicPr>
        <xdr:cNvPr id="25" name="Image 24" descr="Picture">
          <a:extLst>
            <a:ext uri="{FF2B5EF4-FFF2-40B4-BE49-F238E27FC236}">
              <a16:creationId xmlns:a16="http://schemas.microsoft.com/office/drawing/2014/main" id="{00000000-0008-0000-0E00-000019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28</xdr:row>
      <xdr:rowOff>0</xdr:rowOff>
    </xdr:from>
    <xdr:ext cx="419100" cy="419100"/>
    <xdr:pic>
      <xdr:nvPicPr>
        <xdr:cNvPr id="26" name="Image 25" descr="Picture">
          <a:extLst>
            <a:ext uri="{FF2B5EF4-FFF2-40B4-BE49-F238E27FC236}">
              <a16:creationId xmlns:a16="http://schemas.microsoft.com/office/drawing/2014/main" id="{00000000-0008-0000-0E00-00001A000000}"/>
            </a:ext>
          </a:extLst>
        </xdr:cNvPr>
        <xdr:cNvPicPr/>
      </xdr:nvPicPr>
      <xdr:blipFill>
        <a:blip xmlns:r="http://schemas.openxmlformats.org/officeDocument/2006/relationships" r:embed="rId25" cstate="print"/>
        <a:stretch>
          <a:fillRect/>
        </a:stretch>
      </xdr:blipFill>
      <xdr:spPr>
        <a:prstGeom prst="rect">
          <a:avLst/>
        </a:prstGeom>
      </xdr:spPr>
    </xdr:pic>
    <xdr:clientData/>
  </xdr:oneCellAnchor>
  <xdr:oneCellAnchor>
    <xdr:from>
      <xdr:col>0</xdr:col>
      <xdr:colOff>0</xdr:colOff>
      <xdr:row>29</xdr:row>
      <xdr:rowOff>0</xdr:rowOff>
    </xdr:from>
    <xdr:ext cx="276225" cy="419100"/>
    <xdr:pic>
      <xdr:nvPicPr>
        <xdr:cNvPr id="27" name="Image 26" descr="Picture">
          <a:extLst>
            <a:ext uri="{FF2B5EF4-FFF2-40B4-BE49-F238E27FC236}">
              <a16:creationId xmlns:a16="http://schemas.microsoft.com/office/drawing/2014/main" id="{00000000-0008-0000-0E00-00001B000000}"/>
            </a:ext>
          </a:extLst>
        </xdr:cNvPr>
        <xdr:cNvPicPr/>
      </xdr:nvPicPr>
      <xdr:blipFill>
        <a:blip xmlns:r="http://schemas.openxmlformats.org/officeDocument/2006/relationships" r:embed="rId26" cstate="print"/>
        <a:stretch>
          <a:fillRect/>
        </a:stretch>
      </xdr:blipFill>
      <xdr:spPr>
        <a:prstGeom prst="rect">
          <a:avLst/>
        </a:prstGeom>
      </xdr:spPr>
    </xdr:pic>
    <xdr:clientData/>
  </xdr:oneCellAnchor>
  <xdr:oneCellAnchor>
    <xdr:from>
      <xdr:col>0</xdr:col>
      <xdr:colOff>0</xdr:colOff>
      <xdr:row>30</xdr:row>
      <xdr:rowOff>0</xdr:rowOff>
    </xdr:from>
    <xdr:ext cx="419100" cy="419100"/>
    <xdr:pic>
      <xdr:nvPicPr>
        <xdr:cNvPr id="28" name="Image 27" descr="Picture">
          <a:extLst>
            <a:ext uri="{FF2B5EF4-FFF2-40B4-BE49-F238E27FC236}">
              <a16:creationId xmlns:a16="http://schemas.microsoft.com/office/drawing/2014/main" id="{00000000-0008-0000-0E00-00001C000000}"/>
            </a:ext>
          </a:extLst>
        </xdr:cNvPr>
        <xdr:cNvPicPr/>
      </xdr:nvPicPr>
      <xdr:blipFill>
        <a:blip xmlns:r="http://schemas.openxmlformats.org/officeDocument/2006/relationships" r:embed="rId27" cstate="print"/>
        <a:stretch>
          <a:fillRect/>
        </a:stretch>
      </xdr:blipFill>
      <xdr:spPr>
        <a:prstGeom prst="rect">
          <a:avLst/>
        </a:prstGeom>
      </xdr:spPr>
    </xdr:pic>
    <xdr:clientData/>
  </xdr:oneCellAnchor>
  <xdr:oneCellAnchor>
    <xdr:from>
      <xdr:col>0</xdr:col>
      <xdr:colOff>0</xdr:colOff>
      <xdr:row>31</xdr:row>
      <xdr:rowOff>0</xdr:rowOff>
    </xdr:from>
    <xdr:ext cx="419100" cy="247650"/>
    <xdr:pic>
      <xdr:nvPicPr>
        <xdr:cNvPr id="29" name="Image 28" descr="Picture">
          <a:extLst>
            <a:ext uri="{FF2B5EF4-FFF2-40B4-BE49-F238E27FC236}">
              <a16:creationId xmlns:a16="http://schemas.microsoft.com/office/drawing/2014/main" id="{00000000-0008-0000-0E00-00001D000000}"/>
            </a:ext>
          </a:extLst>
        </xdr:cNvPr>
        <xdr:cNvPicPr/>
      </xdr:nvPicPr>
      <xdr:blipFill>
        <a:blip xmlns:r="http://schemas.openxmlformats.org/officeDocument/2006/relationships" r:embed="rId28" cstate="print"/>
        <a:stretch>
          <a:fillRect/>
        </a:stretch>
      </xdr:blipFill>
      <xdr:spPr>
        <a:prstGeom prst="rect">
          <a:avLst/>
        </a:prstGeom>
      </xdr:spPr>
    </xdr:pic>
    <xdr:clientData/>
  </xdr:oneCellAnchor>
  <xdr:oneCellAnchor>
    <xdr:from>
      <xdr:col>0</xdr:col>
      <xdr:colOff>0</xdr:colOff>
      <xdr:row>32</xdr:row>
      <xdr:rowOff>0</xdr:rowOff>
    </xdr:from>
    <xdr:ext cx="200025" cy="419100"/>
    <xdr:pic>
      <xdr:nvPicPr>
        <xdr:cNvPr id="30" name="Image 29" descr="Picture">
          <a:extLst>
            <a:ext uri="{FF2B5EF4-FFF2-40B4-BE49-F238E27FC236}">
              <a16:creationId xmlns:a16="http://schemas.microsoft.com/office/drawing/2014/main" id="{00000000-0008-0000-0E00-00001E000000}"/>
            </a:ext>
          </a:extLst>
        </xdr:cNvPr>
        <xdr:cNvPicPr/>
      </xdr:nvPicPr>
      <xdr:blipFill>
        <a:blip xmlns:r="http://schemas.openxmlformats.org/officeDocument/2006/relationships" r:embed="rId29" cstate="print"/>
        <a:stretch>
          <a:fillRect/>
        </a:stretch>
      </xdr:blipFill>
      <xdr:spPr>
        <a:prstGeom prst="rect">
          <a:avLst/>
        </a:prstGeom>
      </xdr:spPr>
    </xdr:pic>
    <xdr:clientData/>
  </xdr:oneCellAnchor>
  <xdr:oneCellAnchor>
    <xdr:from>
      <xdr:col>0</xdr:col>
      <xdr:colOff>0</xdr:colOff>
      <xdr:row>33</xdr:row>
      <xdr:rowOff>0</xdr:rowOff>
    </xdr:from>
    <xdr:ext cx="419100" cy="419100"/>
    <xdr:pic>
      <xdr:nvPicPr>
        <xdr:cNvPr id="31" name="Image 30" descr="Picture">
          <a:extLst>
            <a:ext uri="{FF2B5EF4-FFF2-40B4-BE49-F238E27FC236}">
              <a16:creationId xmlns:a16="http://schemas.microsoft.com/office/drawing/2014/main" id="{00000000-0008-0000-0E00-00001F000000}"/>
            </a:ext>
          </a:extLst>
        </xdr:cNvPr>
        <xdr:cNvPicPr/>
      </xdr:nvPicPr>
      <xdr:blipFill>
        <a:blip xmlns:r="http://schemas.openxmlformats.org/officeDocument/2006/relationships" r:embed="rId30" cstate="print"/>
        <a:stretch>
          <a:fillRect/>
        </a:stretch>
      </xdr:blipFill>
      <xdr:spPr>
        <a:prstGeom prst="rect">
          <a:avLst/>
        </a:prstGeom>
      </xdr:spPr>
    </xdr:pic>
    <xdr:clientData/>
  </xdr:oneCellAnchor>
  <xdr:oneCellAnchor>
    <xdr:from>
      <xdr:col>0</xdr:col>
      <xdr:colOff>0</xdr:colOff>
      <xdr:row>34</xdr:row>
      <xdr:rowOff>0</xdr:rowOff>
    </xdr:from>
    <xdr:ext cx="209550" cy="419100"/>
    <xdr:pic>
      <xdr:nvPicPr>
        <xdr:cNvPr id="32" name="Image 31" descr="Picture">
          <a:extLst>
            <a:ext uri="{FF2B5EF4-FFF2-40B4-BE49-F238E27FC236}">
              <a16:creationId xmlns:a16="http://schemas.microsoft.com/office/drawing/2014/main" id="{00000000-0008-0000-0E00-000020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0</xdr:col>
      <xdr:colOff>0</xdr:colOff>
      <xdr:row>35</xdr:row>
      <xdr:rowOff>0</xdr:rowOff>
    </xdr:from>
    <xdr:ext cx="238125" cy="419100"/>
    <xdr:pic>
      <xdr:nvPicPr>
        <xdr:cNvPr id="33" name="Image 32" descr="Picture">
          <a:extLst>
            <a:ext uri="{FF2B5EF4-FFF2-40B4-BE49-F238E27FC236}">
              <a16:creationId xmlns:a16="http://schemas.microsoft.com/office/drawing/2014/main" id="{00000000-0008-0000-0E00-000021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36</xdr:row>
      <xdr:rowOff>0</xdr:rowOff>
    </xdr:from>
    <xdr:ext cx="419100" cy="419100"/>
    <xdr:pic>
      <xdr:nvPicPr>
        <xdr:cNvPr id="34" name="Image 33" descr="Picture">
          <a:extLst>
            <a:ext uri="{FF2B5EF4-FFF2-40B4-BE49-F238E27FC236}">
              <a16:creationId xmlns:a16="http://schemas.microsoft.com/office/drawing/2014/main" id="{00000000-0008-0000-0E00-000022000000}"/>
            </a:ext>
          </a:extLst>
        </xdr:cNvPr>
        <xdr:cNvPicPr/>
      </xdr:nvPicPr>
      <xdr:blipFill>
        <a:blip xmlns:r="http://schemas.openxmlformats.org/officeDocument/2006/relationships" r:embed="rId33" cstate="print"/>
        <a:stretch>
          <a:fillRect/>
        </a:stretch>
      </xdr:blipFill>
      <xdr:spPr>
        <a:prstGeom prst="rect">
          <a:avLst/>
        </a:prstGeom>
      </xdr:spPr>
    </xdr:pic>
    <xdr:clientData/>
  </xdr:oneCellAnchor>
  <xdr:oneCellAnchor>
    <xdr:from>
      <xdr:col>0</xdr:col>
      <xdr:colOff>0</xdr:colOff>
      <xdr:row>37</xdr:row>
      <xdr:rowOff>0</xdr:rowOff>
    </xdr:from>
    <xdr:ext cx="381000" cy="419100"/>
    <xdr:pic>
      <xdr:nvPicPr>
        <xdr:cNvPr id="35" name="Image 34" descr="Picture">
          <a:extLst>
            <a:ext uri="{FF2B5EF4-FFF2-40B4-BE49-F238E27FC236}">
              <a16:creationId xmlns:a16="http://schemas.microsoft.com/office/drawing/2014/main" id="{00000000-0008-0000-0E00-000023000000}"/>
            </a:ext>
          </a:extLst>
        </xdr:cNvPr>
        <xdr:cNvPicPr/>
      </xdr:nvPicPr>
      <xdr:blipFill>
        <a:blip xmlns:r="http://schemas.openxmlformats.org/officeDocument/2006/relationships" r:embed="rId34" cstate="print"/>
        <a:stretch>
          <a:fillRect/>
        </a:stretch>
      </xdr:blipFill>
      <xdr:spPr>
        <a:prstGeom prst="rect">
          <a:avLst/>
        </a:prstGeom>
      </xdr:spPr>
    </xdr:pic>
    <xdr:clientData/>
  </xdr:oneCellAnchor>
  <xdr:oneCellAnchor>
    <xdr:from>
      <xdr:col>0</xdr:col>
      <xdr:colOff>0</xdr:colOff>
      <xdr:row>38</xdr:row>
      <xdr:rowOff>0</xdr:rowOff>
    </xdr:from>
    <xdr:ext cx="419100" cy="419100"/>
    <xdr:pic>
      <xdr:nvPicPr>
        <xdr:cNvPr id="36" name="Image 35" descr="Picture">
          <a:extLst>
            <a:ext uri="{FF2B5EF4-FFF2-40B4-BE49-F238E27FC236}">
              <a16:creationId xmlns:a16="http://schemas.microsoft.com/office/drawing/2014/main" id="{00000000-0008-0000-0E00-000024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0</xdr:col>
      <xdr:colOff>0</xdr:colOff>
      <xdr:row>39</xdr:row>
      <xdr:rowOff>0</xdr:rowOff>
    </xdr:from>
    <xdr:ext cx="419100" cy="409575"/>
    <xdr:pic>
      <xdr:nvPicPr>
        <xdr:cNvPr id="37" name="Image 36" descr="Picture">
          <a:extLst>
            <a:ext uri="{FF2B5EF4-FFF2-40B4-BE49-F238E27FC236}">
              <a16:creationId xmlns:a16="http://schemas.microsoft.com/office/drawing/2014/main" id="{00000000-0008-0000-0E00-000025000000}"/>
            </a:ext>
          </a:extLst>
        </xdr:cNvPr>
        <xdr:cNvPicPr/>
      </xdr:nvPicPr>
      <xdr:blipFill>
        <a:blip xmlns:r="http://schemas.openxmlformats.org/officeDocument/2006/relationships" r:embed="rId36" cstate="print"/>
        <a:stretch>
          <a:fillRect/>
        </a:stretch>
      </xdr:blipFill>
      <xdr:spPr>
        <a:prstGeom prst="rect">
          <a:avLst/>
        </a:prstGeom>
      </xdr:spPr>
    </xdr:pic>
    <xdr:clientData/>
  </xdr:oneCellAnchor>
  <xdr:oneCellAnchor>
    <xdr:from>
      <xdr:col>0</xdr:col>
      <xdr:colOff>0</xdr:colOff>
      <xdr:row>40</xdr:row>
      <xdr:rowOff>0</xdr:rowOff>
    </xdr:from>
    <xdr:ext cx="333375" cy="419100"/>
    <xdr:pic>
      <xdr:nvPicPr>
        <xdr:cNvPr id="38" name="Image 37" descr="Picture">
          <a:extLst>
            <a:ext uri="{FF2B5EF4-FFF2-40B4-BE49-F238E27FC236}">
              <a16:creationId xmlns:a16="http://schemas.microsoft.com/office/drawing/2014/main" id="{00000000-0008-0000-0E00-000026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0</xdr:col>
      <xdr:colOff>0</xdr:colOff>
      <xdr:row>41</xdr:row>
      <xdr:rowOff>0</xdr:rowOff>
    </xdr:from>
    <xdr:ext cx="419100" cy="419100"/>
    <xdr:pic>
      <xdr:nvPicPr>
        <xdr:cNvPr id="39" name="Image 38" descr="Picture">
          <a:extLst>
            <a:ext uri="{FF2B5EF4-FFF2-40B4-BE49-F238E27FC236}">
              <a16:creationId xmlns:a16="http://schemas.microsoft.com/office/drawing/2014/main" id="{00000000-0008-0000-0E00-000027000000}"/>
            </a:ext>
          </a:extLst>
        </xdr:cNvPr>
        <xdr:cNvPicPr/>
      </xdr:nvPicPr>
      <xdr:blipFill>
        <a:blip xmlns:r="http://schemas.openxmlformats.org/officeDocument/2006/relationships" r:embed="rId38" cstate="print"/>
        <a:stretch>
          <a:fillRect/>
        </a:stretch>
      </xdr:blipFill>
      <xdr:spPr>
        <a:prstGeom prst="rect">
          <a:avLst/>
        </a:prstGeom>
      </xdr:spPr>
    </xdr:pic>
    <xdr:clientData/>
  </xdr:oneCellAnchor>
  <xdr:oneCellAnchor>
    <xdr:from>
      <xdr:col>0</xdr:col>
      <xdr:colOff>0</xdr:colOff>
      <xdr:row>42</xdr:row>
      <xdr:rowOff>0</xdr:rowOff>
    </xdr:from>
    <xdr:ext cx="419100" cy="419100"/>
    <xdr:pic>
      <xdr:nvPicPr>
        <xdr:cNvPr id="40" name="Image 39" descr="Picture">
          <a:extLst>
            <a:ext uri="{FF2B5EF4-FFF2-40B4-BE49-F238E27FC236}">
              <a16:creationId xmlns:a16="http://schemas.microsoft.com/office/drawing/2014/main" id="{00000000-0008-0000-0E00-000028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43</xdr:row>
      <xdr:rowOff>0</xdr:rowOff>
    </xdr:from>
    <xdr:ext cx="381000" cy="419100"/>
    <xdr:pic>
      <xdr:nvPicPr>
        <xdr:cNvPr id="41" name="Image 40" descr="Picture">
          <a:extLst>
            <a:ext uri="{FF2B5EF4-FFF2-40B4-BE49-F238E27FC236}">
              <a16:creationId xmlns:a16="http://schemas.microsoft.com/office/drawing/2014/main" id="{00000000-0008-0000-0E00-000029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44</xdr:row>
      <xdr:rowOff>0</xdr:rowOff>
    </xdr:from>
    <xdr:ext cx="409575" cy="419100"/>
    <xdr:pic>
      <xdr:nvPicPr>
        <xdr:cNvPr id="42" name="Image 41" descr="Picture">
          <a:extLst>
            <a:ext uri="{FF2B5EF4-FFF2-40B4-BE49-F238E27FC236}">
              <a16:creationId xmlns:a16="http://schemas.microsoft.com/office/drawing/2014/main" id="{00000000-0008-0000-0E00-00002A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45</xdr:row>
      <xdr:rowOff>0</xdr:rowOff>
    </xdr:from>
    <xdr:ext cx="276225" cy="419100"/>
    <xdr:pic>
      <xdr:nvPicPr>
        <xdr:cNvPr id="43" name="Image 42" descr="Picture">
          <a:extLst>
            <a:ext uri="{FF2B5EF4-FFF2-40B4-BE49-F238E27FC236}">
              <a16:creationId xmlns:a16="http://schemas.microsoft.com/office/drawing/2014/main" id="{00000000-0008-0000-0E00-00002B000000}"/>
            </a:ext>
          </a:extLst>
        </xdr:cNvPr>
        <xdr:cNvPicPr/>
      </xdr:nvPicPr>
      <xdr:blipFill>
        <a:blip xmlns:r="http://schemas.openxmlformats.org/officeDocument/2006/relationships" r:embed="rId42" cstate="print"/>
        <a:stretch>
          <a:fillRect/>
        </a:stretch>
      </xdr:blipFill>
      <xdr:spPr>
        <a:prstGeom prst="rect">
          <a:avLst/>
        </a:prstGeom>
      </xdr:spPr>
    </xdr:pic>
    <xdr:clientData/>
  </xdr:oneCellAnchor>
  <xdr:oneCellAnchor>
    <xdr:from>
      <xdr:col>0</xdr:col>
      <xdr:colOff>0</xdr:colOff>
      <xdr:row>46</xdr:row>
      <xdr:rowOff>0</xdr:rowOff>
    </xdr:from>
    <xdr:ext cx="419100" cy="419100"/>
    <xdr:pic>
      <xdr:nvPicPr>
        <xdr:cNvPr id="44" name="Image 43" descr="Picture">
          <a:extLst>
            <a:ext uri="{FF2B5EF4-FFF2-40B4-BE49-F238E27FC236}">
              <a16:creationId xmlns:a16="http://schemas.microsoft.com/office/drawing/2014/main" id="{00000000-0008-0000-0E00-00002C000000}"/>
            </a:ext>
          </a:extLst>
        </xdr:cNvPr>
        <xdr:cNvPicPr/>
      </xdr:nvPicPr>
      <xdr:blipFill>
        <a:blip xmlns:r="http://schemas.openxmlformats.org/officeDocument/2006/relationships" r:embed="rId43" cstate="print"/>
        <a:stretch>
          <a:fillRect/>
        </a:stretch>
      </xdr:blipFill>
      <xdr:spPr>
        <a:prstGeom prst="rect">
          <a:avLst/>
        </a:prstGeom>
      </xdr:spPr>
    </xdr:pic>
    <xdr:clientData/>
  </xdr:oneCellAnchor>
  <xdr:oneCellAnchor>
    <xdr:from>
      <xdr:col>0</xdr:col>
      <xdr:colOff>0</xdr:colOff>
      <xdr:row>47</xdr:row>
      <xdr:rowOff>0</xdr:rowOff>
    </xdr:from>
    <xdr:ext cx="419100" cy="419100"/>
    <xdr:pic>
      <xdr:nvPicPr>
        <xdr:cNvPr id="45" name="Image 44" descr="Picture">
          <a:extLst>
            <a:ext uri="{FF2B5EF4-FFF2-40B4-BE49-F238E27FC236}">
              <a16:creationId xmlns:a16="http://schemas.microsoft.com/office/drawing/2014/main" id="{00000000-0008-0000-0E00-00002D000000}"/>
            </a:ext>
          </a:extLst>
        </xdr:cNvPr>
        <xdr:cNvPicPr/>
      </xdr:nvPicPr>
      <xdr:blipFill>
        <a:blip xmlns:r="http://schemas.openxmlformats.org/officeDocument/2006/relationships" r:embed="rId44" cstate="print"/>
        <a:stretch>
          <a:fillRect/>
        </a:stretch>
      </xdr:blipFill>
      <xdr:spPr>
        <a:prstGeom prst="rect">
          <a:avLst/>
        </a:prstGeom>
      </xdr:spPr>
    </xdr:pic>
    <xdr:clientData/>
  </xdr:oneCellAnchor>
  <xdr:oneCellAnchor>
    <xdr:from>
      <xdr:col>0</xdr:col>
      <xdr:colOff>0</xdr:colOff>
      <xdr:row>48</xdr:row>
      <xdr:rowOff>0</xdr:rowOff>
    </xdr:from>
    <xdr:ext cx="419100" cy="419100"/>
    <xdr:pic>
      <xdr:nvPicPr>
        <xdr:cNvPr id="46" name="Image 45" descr="Picture">
          <a:extLst>
            <a:ext uri="{FF2B5EF4-FFF2-40B4-BE49-F238E27FC236}">
              <a16:creationId xmlns:a16="http://schemas.microsoft.com/office/drawing/2014/main" id="{00000000-0008-0000-0E00-00002E000000}"/>
            </a:ext>
          </a:extLst>
        </xdr:cNvPr>
        <xdr:cNvPicPr/>
      </xdr:nvPicPr>
      <xdr:blipFill>
        <a:blip xmlns:r="http://schemas.openxmlformats.org/officeDocument/2006/relationships" r:embed="rId45" cstate="print"/>
        <a:stretch>
          <a:fillRect/>
        </a:stretch>
      </xdr:blipFill>
      <xdr:spPr>
        <a:prstGeom prst="rect">
          <a:avLst/>
        </a:prstGeom>
      </xdr:spPr>
    </xdr:pic>
    <xdr:clientData/>
  </xdr:oneCellAnchor>
  <xdr:oneCellAnchor>
    <xdr:from>
      <xdr:col>0</xdr:col>
      <xdr:colOff>0</xdr:colOff>
      <xdr:row>49</xdr:row>
      <xdr:rowOff>0</xdr:rowOff>
    </xdr:from>
    <xdr:ext cx="419100" cy="209550"/>
    <xdr:pic>
      <xdr:nvPicPr>
        <xdr:cNvPr id="47" name="Image 46" descr="Picture">
          <a:extLst>
            <a:ext uri="{FF2B5EF4-FFF2-40B4-BE49-F238E27FC236}">
              <a16:creationId xmlns:a16="http://schemas.microsoft.com/office/drawing/2014/main" id="{00000000-0008-0000-0E00-00002F000000}"/>
            </a:ext>
          </a:extLst>
        </xdr:cNvPr>
        <xdr:cNvPicPr/>
      </xdr:nvPicPr>
      <xdr:blipFill>
        <a:blip xmlns:r="http://schemas.openxmlformats.org/officeDocument/2006/relationships" r:embed="rId46" cstate="print"/>
        <a:stretch>
          <a:fillRect/>
        </a:stretch>
      </xdr:blipFill>
      <xdr:spPr>
        <a:prstGeom prst="rect">
          <a:avLst/>
        </a:prstGeom>
      </xdr:spPr>
    </xdr:pic>
    <xdr:clientData/>
  </xdr:oneCellAnchor>
  <xdr:oneCellAnchor>
    <xdr:from>
      <xdr:col>0</xdr:col>
      <xdr:colOff>0</xdr:colOff>
      <xdr:row>53</xdr:row>
      <xdr:rowOff>0</xdr:rowOff>
    </xdr:from>
    <xdr:ext cx="276225" cy="285750"/>
    <xdr:pic>
      <xdr:nvPicPr>
        <xdr:cNvPr id="48" name="Image 47" descr="Picture">
          <a:extLst>
            <a:ext uri="{FF2B5EF4-FFF2-40B4-BE49-F238E27FC236}">
              <a16:creationId xmlns:a16="http://schemas.microsoft.com/office/drawing/2014/main" id="{00000000-0008-0000-0E00-000030000000}"/>
            </a:ext>
          </a:extLst>
        </xdr:cNvPr>
        <xdr:cNvPicPr/>
      </xdr:nvPicPr>
      <xdr:blipFill>
        <a:blip xmlns:r="http://schemas.openxmlformats.org/officeDocument/2006/relationships" r:embed="rId47" cstate="print"/>
        <a:stretch>
          <a:fillRect/>
        </a:stretch>
      </xdr:blipFill>
      <xdr:spPr>
        <a:prstGeom prst="rect">
          <a:avLst/>
        </a:prstGeom>
      </xdr:spPr>
    </xdr:pic>
    <xdr:clientData/>
  </xdr:oneCellAnchor>
  <xdr:oneCellAnchor>
    <xdr:from>
      <xdr:col>0</xdr:col>
      <xdr:colOff>0</xdr:colOff>
      <xdr:row>54</xdr:row>
      <xdr:rowOff>0</xdr:rowOff>
    </xdr:from>
    <xdr:ext cx="285750" cy="285750"/>
    <xdr:pic>
      <xdr:nvPicPr>
        <xdr:cNvPr id="49" name="Image 48" descr="Picture">
          <a:extLst>
            <a:ext uri="{FF2B5EF4-FFF2-40B4-BE49-F238E27FC236}">
              <a16:creationId xmlns:a16="http://schemas.microsoft.com/office/drawing/2014/main" id="{00000000-0008-0000-0E00-000031000000}"/>
            </a:ext>
          </a:extLst>
        </xdr:cNvPr>
        <xdr:cNvPicPr/>
      </xdr:nvPicPr>
      <xdr:blipFill>
        <a:blip xmlns:r="http://schemas.openxmlformats.org/officeDocument/2006/relationships" r:embed="rId48" cstate="print"/>
        <a:stretch>
          <a:fillRect/>
        </a:stretch>
      </xdr:blipFill>
      <xdr:spPr>
        <a:prstGeom prst="rect">
          <a:avLst/>
        </a:prstGeom>
      </xdr:spPr>
    </xdr:pic>
    <xdr:clientData/>
  </xdr:oneCellAnchor>
  <xdr:oneCellAnchor>
    <xdr:from>
      <xdr:col>0</xdr:col>
      <xdr:colOff>0</xdr:colOff>
      <xdr:row>55</xdr:row>
      <xdr:rowOff>0</xdr:rowOff>
    </xdr:from>
    <xdr:ext cx="285750" cy="285750"/>
    <xdr:pic>
      <xdr:nvPicPr>
        <xdr:cNvPr id="50" name="Image 49" descr="Picture">
          <a:extLst>
            <a:ext uri="{FF2B5EF4-FFF2-40B4-BE49-F238E27FC236}">
              <a16:creationId xmlns:a16="http://schemas.microsoft.com/office/drawing/2014/main" id="{00000000-0008-0000-0E00-000032000000}"/>
            </a:ext>
          </a:extLst>
        </xdr:cNvPr>
        <xdr:cNvPicPr/>
      </xdr:nvPicPr>
      <xdr:blipFill>
        <a:blip xmlns:r="http://schemas.openxmlformats.org/officeDocument/2006/relationships" r:embed="rId49" cstate="print"/>
        <a:stretch>
          <a:fillRect/>
        </a:stretch>
      </xdr:blipFill>
      <xdr:spPr>
        <a:prstGeom prst="rect">
          <a:avLst/>
        </a:prstGeom>
      </xdr:spPr>
    </xdr:pic>
    <xdr:clientData/>
  </xdr:oneCellAnchor>
  <xdr:oneCellAnchor>
    <xdr:from>
      <xdr:col>0</xdr:col>
      <xdr:colOff>0</xdr:colOff>
      <xdr:row>56</xdr:row>
      <xdr:rowOff>0</xdr:rowOff>
    </xdr:from>
    <xdr:ext cx="285750" cy="285750"/>
    <xdr:pic>
      <xdr:nvPicPr>
        <xdr:cNvPr id="51" name="Image 50" descr="Picture">
          <a:extLst>
            <a:ext uri="{FF2B5EF4-FFF2-40B4-BE49-F238E27FC236}">
              <a16:creationId xmlns:a16="http://schemas.microsoft.com/office/drawing/2014/main" id="{00000000-0008-0000-0E00-000033000000}"/>
            </a:ext>
          </a:extLst>
        </xdr:cNvPr>
        <xdr:cNvPicPr/>
      </xdr:nvPicPr>
      <xdr:blipFill>
        <a:blip xmlns:r="http://schemas.openxmlformats.org/officeDocument/2006/relationships" r:embed="rId50" cstate="print"/>
        <a:stretch>
          <a:fillRect/>
        </a:stretch>
      </xdr:blipFill>
      <xdr:spPr>
        <a:prstGeom prst="rect">
          <a:avLst/>
        </a:prstGeom>
      </xdr:spPr>
    </xdr:pic>
    <xdr:clientData/>
  </xdr:oneCellAnchor>
  <xdr:oneCellAnchor>
    <xdr:from>
      <xdr:col>0</xdr:col>
      <xdr:colOff>0</xdr:colOff>
      <xdr:row>57</xdr:row>
      <xdr:rowOff>0</xdr:rowOff>
    </xdr:from>
    <xdr:ext cx="219075" cy="285750"/>
    <xdr:pic>
      <xdr:nvPicPr>
        <xdr:cNvPr id="52" name="Image 51" descr="Picture">
          <a:extLst>
            <a:ext uri="{FF2B5EF4-FFF2-40B4-BE49-F238E27FC236}">
              <a16:creationId xmlns:a16="http://schemas.microsoft.com/office/drawing/2014/main" id="{00000000-0008-0000-0E00-000034000000}"/>
            </a:ext>
          </a:extLst>
        </xdr:cNvPr>
        <xdr:cNvPicPr/>
      </xdr:nvPicPr>
      <xdr:blipFill>
        <a:blip xmlns:r="http://schemas.openxmlformats.org/officeDocument/2006/relationships" r:embed="rId5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5</xdr:row>
      <xdr:rowOff>0</xdr:rowOff>
    </xdr:from>
    <xdr:ext cx="247650" cy="247650"/>
    <xdr:pic>
      <xdr:nvPicPr>
        <xdr:cNvPr id="2" name="Image 1" descr="Picture">
          <a:extLst>
            <a:ext uri="{FF2B5EF4-FFF2-40B4-BE49-F238E27FC236}">
              <a16:creationId xmlns:a16="http://schemas.microsoft.com/office/drawing/2014/main" id="{00000000-0008-0000-0F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6</xdr:row>
      <xdr:rowOff>0</xdr:rowOff>
    </xdr:from>
    <xdr:ext cx="247650" cy="247650"/>
    <xdr:pic>
      <xdr:nvPicPr>
        <xdr:cNvPr id="3" name="Image 2" descr="Picture">
          <a:extLst>
            <a:ext uri="{FF2B5EF4-FFF2-40B4-BE49-F238E27FC236}">
              <a16:creationId xmlns:a16="http://schemas.microsoft.com/office/drawing/2014/main" id="{00000000-0008-0000-0F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7</xdr:row>
      <xdr:rowOff>0</xdr:rowOff>
    </xdr:from>
    <xdr:ext cx="247650" cy="247650"/>
    <xdr:pic>
      <xdr:nvPicPr>
        <xdr:cNvPr id="4" name="Image 3" descr="Picture">
          <a:extLst>
            <a:ext uri="{FF2B5EF4-FFF2-40B4-BE49-F238E27FC236}">
              <a16:creationId xmlns:a16="http://schemas.microsoft.com/office/drawing/2014/main" id="{00000000-0008-0000-0F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9</xdr:row>
      <xdr:rowOff>0</xdr:rowOff>
    </xdr:from>
    <xdr:ext cx="76200" cy="323850"/>
    <xdr:pic>
      <xdr:nvPicPr>
        <xdr:cNvPr id="5" name="Image 4" descr="Picture">
          <a:extLst>
            <a:ext uri="{FF2B5EF4-FFF2-40B4-BE49-F238E27FC236}">
              <a16:creationId xmlns:a16="http://schemas.microsoft.com/office/drawing/2014/main" id="{00000000-0008-0000-0F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10</xdr:row>
      <xdr:rowOff>0</xdr:rowOff>
    </xdr:from>
    <xdr:ext cx="323850" cy="323850"/>
    <xdr:pic>
      <xdr:nvPicPr>
        <xdr:cNvPr id="6" name="Image 5" descr="Picture">
          <a:extLst>
            <a:ext uri="{FF2B5EF4-FFF2-40B4-BE49-F238E27FC236}">
              <a16:creationId xmlns:a16="http://schemas.microsoft.com/office/drawing/2014/main" id="{00000000-0008-0000-0F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11</xdr:row>
      <xdr:rowOff>0</xdr:rowOff>
    </xdr:from>
    <xdr:ext cx="323850" cy="323850"/>
    <xdr:pic>
      <xdr:nvPicPr>
        <xdr:cNvPr id="7" name="Image 6" descr="Picture">
          <a:extLst>
            <a:ext uri="{FF2B5EF4-FFF2-40B4-BE49-F238E27FC236}">
              <a16:creationId xmlns:a16="http://schemas.microsoft.com/office/drawing/2014/main" id="{00000000-0008-0000-0F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12</xdr:row>
      <xdr:rowOff>0</xdr:rowOff>
    </xdr:from>
    <xdr:ext cx="323850" cy="190500"/>
    <xdr:pic>
      <xdr:nvPicPr>
        <xdr:cNvPr id="8" name="Image 7" descr="Picture">
          <a:extLst>
            <a:ext uri="{FF2B5EF4-FFF2-40B4-BE49-F238E27FC236}">
              <a16:creationId xmlns:a16="http://schemas.microsoft.com/office/drawing/2014/main" id="{00000000-0008-0000-0F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13</xdr:row>
      <xdr:rowOff>0</xdr:rowOff>
    </xdr:from>
    <xdr:ext cx="209550" cy="323850"/>
    <xdr:pic>
      <xdr:nvPicPr>
        <xdr:cNvPr id="9" name="Image 8" descr="Picture">
          <a:extLst>
            <a:ext uri="{FF2B5EF4-FFF2-40B4-BE49-F238E27FC236}">
              <a16:creationId xmlns:a16="http://schemas.microsoft.com/office/drawing/2014/main" id="{00000000-0008-0000-0F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14</xdr:row>
      <xdr:rowOff>0</xdr:rowOff>
    </xdr:from>
    <xdr:ext cx="323850" cy="323850"/>
    <xdr:pic>
      <xdr:nvPicPr>
        <xdr:cNvPr id="10" name="Image 9" descr="Picture">
          <a:extLst>
            <a:ext uri="{FF2B5EF4-FFF2-40B4-BE49-F238E27FC236}">
              <a16:creationId xmlns:a16="http://schemas.microsoft.com/office/drawing/2014/main" id="{00000000-0008-0000-0F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15</xdr:row>
      <xdr:rowOff>0</xdr:rowOff>
    </xdr:from>
    <xdr:ext cx="314325" cy="323850"/>
    <xdr:pic>
      <xdr:nvPicPr>
        <xdr:cNvPr id="11" name="Image 10" descr="Picture">
          <a:extLst>
            <a:ext uri="{FF2B5EF4-FFF2-40B4-BE49-F238E27FC236}">
              <a16:creationId xmlns:a16="http://schemas.microsoft.com/office/drawing/2014/main" id="{00000000-0008-0000-0F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16</xdr:row>
      <xdr:rowOff>0</xdr:rowOff>
    </xdr:from>
    <xdr:ext cx="304800" cy="323850"/>
    <xdr:pic>
      <xdr:nvPicPr>
        <xdr:cNvPr id="12" name="Image 11" descr="Picture">
          <a:extLst>
            <a:ext uri="{FF2B5EF4-FFF2-40B4-BE49-F238E27FC236}">
              <a16:creationId xmlns:a16="http://schemas.microsoft.com/office/drawing/2014/main" id="{00000000-0008-0000-0F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17</xdr:row>
      <xdr:rowOff>0</xdr:rowOff>
    </xdr:from>
    <xdr:ext cx="323850" cy="323850"/>
    <xdr:pic>
      <xdr:nvPicPr>
        <xdr:cNvPr id="13" name="Image 12" descr="Picture">
          <a:extLst>
            <a:ext uri="{FF2B5EF4-FFF2-40B4-BE49-F238E27FC236}">
              <a16:creationId xmlns:a16="http://schemas.microsoft.com/office/drawing/2014/main" id="{00000000-0008-0000-0F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18</xdr:row>
      <xdr:rowOff>0</xdr:rowOff>
    </xdr:from>
    <xdr:ext cx="323850" cy="304800"/>
    <xdr:pic>
      <xdr:nvPicPr>
        <xdr:cNvPr id="14" name="Image 13" descr="Picture">
          <a:extLst>
            <a:ext uri="{FF2B5EF4-FFF2-40B4-BE49-F238E27FC236}">
              <a16:creationId xmlns:a16="http://schemas.microsoft.com/office/drawing/2014/main" id="{00000000-0008-0000-0F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0</xdr:col>
      <xdr:colOff>0</xdr:colOff>
      <xdr:row>19</xdr:row>
      <xdr:rowOff>0</xdr:rowOff>
    </xdr:from>
    <xdr:ext cx="323850" cy="323850"/>
    <xdr:pic>
      <xdr:nvPicPr>
        <xdr:cNvPr id="15" name="Image 14" descr="Picture">
          <a:extLst>
            <a:ext uri="{FF2B5EF4-FFF2-40B4-BE49-F238E27FC236}">
              <a16:creationId xmlns:a16="http://schemas.microsoft.com/office/drawing/2014/main" id="{00000000-0008-0000-0F00-00000F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20</xdr:row>
      <xdr:rowOff>0</xdr:rowOff>
    </xdr:from>
    <xdr:ext cx="323850" cy="323850"/>
    <xdr:pic>
      <xdr:nvPicPr>
        <xdr:cNvPr id="16" name="Image 15" descr="Picture">
          <a:extLst>
            <a:ext uri="{FF2B5EF4-FFF2-40B4-BE49-F238E27FC236}">
              <a16:creationId xmlns:a16="http://schemas.microsoft.com/office/drawing/2014/main" id="{00000000-0008-0000-0F00-000010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24</xdr:row>
      <xdr:rowOff>0</xdr:rowOff>
    </xdr:from>
    <xdr:ext cx="247650" cy="247650"/>
    <xdr:pic>
      <xdr:nvPicPr>
        <xdr:cNvPr id="17" name="Image 16" descr="Picture">
          <a:extLst>
            <a:ext uri="{FF2B5EF4-FFF2-40B4-BE49-F238E27FC236}">
              <a16:creationId xmlns:a16="http://schemas.microsoft.com/office/drawing/2014/main" id="{00000000-0008-0000-0F00-000011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25</xdr:row>
      <xdr:rowOff>0</xdr:rowOff>
    </xdr:from>
    <xdr:ext cx="247650" cy="247650"/>
    <xdr:pic>
      <xdr:nvPicPr>
        <xdr:cNvPr id="18" name="Image 17" descr="Picture">
          <a:extLst>
            <a:ext uri="{FF2B5EF4-FFF2-40B4-BE49-F238E27FC236}">
              <a16:creationId xmlns:a16="http://schemas.microsoft.com/office/drawing/2014/main" id="{00000000-0008-0000-0F00-00001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26</xdr:row>
      <xdr:rowOff>0</xdr:rowOff>
    </xdr:from>
    <xdr:ext cx="247650" cy="247650"/>
    <xdr:pic>
      <xdr:nvPicPr>
        <xdr:cNvPr id="19" name="Image 18" descr="Picture">
          <a:extLst>
            <a:ext uri="{FF2B5EF4-FFF2-40B4-BE49-F238E27FC236}">
              <a16:creationId xmlns:a16="http://schemas.microsoft.com/office/drawing/2014/main" id="{00000000-0008-0000-0F00-000013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28</xdr:row>
      <xdr:rowOff>0</xdr:rowOff>
    </xdr:from>
    <xdr:ext cx="76200" cy="323850"/>
    <xdr:pic>
      <xdr:nvPicPr>
        <xdr:cNvPr id="20" name="Image 19" descr="Picture">
          <a:extLst>
            <a:ext uri="{FF2B5EF4-FFF2-40B4-BE49-F238E27FC236}">
              <a16:creationId xmlns:a16="http://schemas.microsoft.com/office/drawing/2014/main" id="{00000000-0008-0000-0F00-000014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0</xdr:col>
      <xdr:colOff>0</xdr:colOff>
      <xdr:row>29</xdr:row>
      <xdr:rowOff>0</xdr:rowOff>
    </xdr:from>
    <xdr:ext cx="323850" cy="323850"/>
    <xdr:pic>
      <xdr:nvPicPr>
        <xdr:cNvPr id="21" name="Image 20" descr="Picture">
          <a:extLst>
            <a:ext uri="{FF2B5EF4-FFF2-40B4-BE49-F238E27FC236}">
              <a16:creationId xmlns:a16="http://schemas.microsoft.com/office/drawing/2014/main" id="{00000000-0008-0000-0F00-000015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30</xdr:row>
      <xdr:rowOff>0</xdr:rowOff>
    </xdr:from>
    <xdr:ext cx="323850" cy="190500"/>
    <xdr:pic>
      <xdr:nvPicPr>
        <xdr:cNvPr id="22" name="Image 21" descr="Picture">
          <a:extLst>
            <a:ext uri="{FF2B5EF4-FFF2-40B4-BE49-F238E27FC236}">
              <a16:creationId xmlns:a16="http://schemas.microsoft.com/office/drawing/2014/main" id="{00000000-0008-0000-0F00-000016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31</xdr:row>
      <xdr:rowOff>0</xdr:rowOff>
    </xdr:from>
    <xdr:ext cx="209550" cy="323850"/>
    <xdr:pic>
      <xdr:nvPicPr>
        <xdr:cNvPr id="23" name="Image 22" descr="Picture">
          <a:extLst>
            <a:ext uri="{FF2B5EF4-FFF2-40B4-BE49-F238E27FC236}">
              <a16:creationId xmlns:a16="http://schemas.microsoft.com/office/drawing/2014/main" id="{00000000-0008-0000-0F00-000017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32</xdr:row>
      <xdr:rowOff>0</xdr:rowOff>
    </xdr:from>
    <xdr:ext cx="323850" cy="323850"/>
    <xdr:pic>
      <xdr:nvPicPr>
        <xdr:cNvPr id="24" name="Image 23" descr="Picture">
          <a:extLst>
            <a:ext uri="{FF2B5EF4-FFF2-40B4-BE49-F238E27FC236}">
              <a16:creationId xmlns:a16="http://schemas.microsoft.com/office/drawing/2014/main" id="{00000000-0008-0000-0F00-000018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33</xdr:row>
      <xdr:rowOff>0</xdr:rowOff>
    </xdr:from>
    <xdr:ext cx="314325" cy="323850"/>
    <xdr:pic>
      <xdr:nvPicPr>
        <xdr:cNvPr id="25" name="Image 24" descr="Picture">
          <a:extLst>
            <a:ext uri="{FF2B5EF4-FFF2-40B4-BE49-F238E27FC236}">
              <a16:creationId xmlns:a16="http://schemas.microsoft.com/office/drawing/2014/main" id="{00000000-0008-0000-0F00-000019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34</xdr:row>
      <xdr:rowOff>0</xdr:rowOff>
    </xdr:from>
    <xdr:ext cx="304800" cy="323850"/>
    <xdr:pic>
      <xdr:nvPicPr>
        <xdr:cNvPr id="26" name="Image 25" descr="Picture">
          <a:extLst>
            <a:ext uri="{FF2B5EF4-FFF2-40B4-BE49-F238E27FC236}">
              <a16:creationId xmlns:a16="http://schemas.microsoft.com/office/drawing/2014/main" id="{00000000-0008-0000-0F00-00001A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35</xdr:row>
      <xdr:rowOff>0</xdr:rowOff>
    </xdr:from>
    <xdr:ext cx="323850" cy="323850"/>
    <xdr:pic>
      <xdr:nvPicPr>
        <xdr:cNvPr id="27" name="Image 26" descr="Picture">
          <a:extLst>
            <a:ext uri="{FF2B5EF4-FFF2-40B4-BE49-F238E27FC236}">
              <a16:creationId xmlns:a16="http://schemas.microsoft.com/office/drawing/2014/main" id="{00000000-0008-0000-0F00-00001B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36</xdr:row>
      <xdr:rowOff>0</xdr:rowOff>
    </xdr:from>
    <xdr:ext cx="323850" cy="304800"/>
    <xdr:pic>
      <xdr:nvPicPr>
        <xdr:cNvPr id="28" name="Image 27" descr="Picture">
          <a:extLst>
            <a:ext uri="{FF2B5EF4-FFF2-40B4-BE49-F238E27FC236}">
              <a16:creationId xmlns:a16="http://schemas.microsoft.com/office/drawing/2014/main" id="{00000000-0008-0000-0F00-00001C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0</xdr:col>
      <xdr:colOff>0</xdr:colOff>
      <xdr:row>37</xdr:row>
      <xdr:rowOff>0</xdr:rowOff>
    </xdr:from>
    <xdr:ext cx="323850" cy="323850"/>
    <xdr:pic>
      <xdr:nvPicPr>
        <xdr:cNvPr id="29" name="Image 28" descr="Picture">
          <a:extLst>
            <a:ext uri="{FF2B5EF4-FFF2-40B4-BE49-F238E27FC236}">
              <a16:creationId xmlns:a16="http://schemas.microsoft.com/office/drawing/2014/main" id="{00000000-0008-0000-0F00-00001D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38</xdr:row>
      <xdr:rowOff>0</xdr:rowOff>
    </xdr:from>
    <xdr:ext cx="323850" cy="323850"/>
    <xdr:pic>
      <xdr:nvPicPr>
        <xdr:cNvPr id="30" name="Image 29" descr="Picture">
          <a:extLst>
            <a:ext uri="{FF2B5EF4-FFF2-40B4-BE49-F238E27FC236}">
              <a16:creationId xmlns:a16="http://schemas.microsoft.com/office/drawing/2014/main" id="{00000000-0008-0000-0F00-00001E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42</xdr:row>
      <xdr:rowOff>0</xdr:rowOff>
    </xdr:from>
    <xdr:ext cx="247650" cy="247650"/>
    <xdr:pic>
      <xdr:nvPicPr>
        <xdr:cNvPr id="31" name="Image 30" descr="Picture">
          <a:extLst>
            <a:ext uri="{FF2B5EF4-FFF2-40B4-BE49-F238E27FC236}">
              <a16:creationId xmlns:a16="http://schemas.microsoft.com/office/drawing/2014/main" id="{00000000-0008-0000-0F00-00001F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43</xdr:row>
      <xdr:rowOff>0</xdr:rowOff>
    </xdr:from>
    <xdr:ext cx="247650" cy="247650"/>
    <xdr:pic>
      <xdr:nvPicPr>
        <xdr:cNvPr id="32" name="Image 31" descr="Picture">
          <a:extLst>
            <a:ext uri="{FF2B5EF4-FFF2-40B4-BE49-F238E27FC236}">
              <a16:creationId xmlns:a16="http://schemas.microsoft.com/office/drawing/2014/main" id="{00000000-0008-0000-0F00-000020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44</xdr:row>
      <xdr:rowOff>0</xdr:rowOff>
    </xdr:from>
    <xdr:ext cx="247650" cy="247650"/>
    <xdr:pic>
      <xdr:nvPicPr>
        <xdr:cNvPr id="33" name="Image 32" descr="Picture">
          <a:extLst>
            <a:ext uri="{FF2B5EF4-FFF2-40B4-BE49-F238E27FC236}">
              <a16:creationId xmlns:a16="http://schemas.microsoft.com/office/drawing/2014/main" id="{00000000-0008-0000-0F00-000021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45</xdr:row>
      <xdr:rowOff>0</xdr:rowOff>
    </xdr:from>
    <xdr:ext cx="247650" cy="247650"/>
    <xdr:pic>
      <xdr:nvPicPr>
        <xdr:cNvPr id="34" name="Image 33" descr="Picture">
          <a:extLst>
            <a:ext uri="{FF2B5EF4-FFF2-40B4-BE49-F238E27FC236}">
              <a16:creationId xmlns:a16="http://schemas.microsoft.com/office/drawing/2014/main" id="{00000000-0008-0000-0F00-000022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46</xdr:row>
      <xdr:rowOff>0</xdr:rowOff>
    </xdr:from>
    <xdr:ext cx="247650" cy="247650"/>
    <xdr:pic>
      <xdr:nvPicPr>
        <xdr:cNvPr id="35" name="Image 34" descr="Picture">
          <a:extLst>
            <a:ext uri="{FF2B5EF4-FFF2-40B4-BE49-F238E27FC236}">
              <a16:creationId xmlns:a16="http://schemas.microsoft.com/office/drawing/2014/main" id="{00000000-0008-0000-0F00-000023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47</xdr:row>
      <xdr:rowOff>0</xdr:rowOff>
    </xdr:from>
    <xdr:ext cx="247650" cy="247650"/>
    <xdr:pic>
      <xdr:nvPicPr>
        <xdr:cNvPr id="36" name="Image 35" descr="Picture">
          <a:extLst>
            <a:ext uri="{FF2B5EF4-FFF2-40B4-BE49-F238E27FC236}">
              <a16:creationId xmlns:a16="http://schemas.microsoft.com/office/drawing/2014/main" id="{00000000-0008-0000-0F00-000024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48</xdr:row>
      <xdr:rowOff>0</xdr:rowOff>
    </xdr:from>
    <xdr:ext cx="247650" cy="247650"/>
    <xdr:pic>
      <xdr:nvPicPr>
        <xdr:cNvPr id="37" name="Image 36" descr="Picture">
          <a:extLst>
            <a:ext uri="{FF2B5EF4-FFF2-40B4-BE49-F238E27FC236}">
              <a16:creationId xmlns:a16="http://schemas.microsoft.com/office/drawing/2014/main" id="{00000000-0008-0000-0F00-000025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0</xdr:col>
      <xdr:colOff>0</xdr:colOff>
      <xdr:row>50</xdr:row>
      <xdr:rowOff>0</xdr:rowOff>
    </xdr:from>
    <xdr:ext cx="209550" cy="323850"/>
    <xdr:pic>
      <xdr:nvPicPr>
        <xdr:cNvPr id="38" name="Image 37" descr="Picture">
          <a:extLst>
            <a:ext uri="{FF2B5EF4-FFF2-40B4-BE49-F238E27FC236}">
              <a16:creationId xmlns:a16="http://schemas.microsoft.com/office/drawing/2014/main" id="{00000000-0008-0000-0F00-000026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51</xdr:row>
      <xdr:rowOff>0</xdr:rowOff>
    </xdr:from>
    <xdr:ext cx="209550" cy="323850"/>
    <xdr:pic>
      <xdr:nvPicPr>
        <xdr:cNvPr id="39" name="Image 38" descr="Picture">
          <a:extLst>
            <a:ext uri="{FF2B5EF4-FFF2-40B4-BE49-F238E27FC236}">
              <a16:creationId xmlns:a16="http://schemas.microsoft.com/office/drawing/2014/main" id="{00000000-0008-0000-0F00-000027000000}"/>
            </a:ext>
          </a:extLst>
        </xdr:cNvPr>
        <xdr:cNvPicPr/>
      </xdr:nvPicPr>
      <xdr:blipFill>
        <a:blip xmlns:r="http://schemas.openxmlformats.org/officeDocument/2006/relationships" r:embed="rId25" cstate="print"/>
        <a:stretch>
          <a:fillRect/>
        </a:stretch>
      </xdr:blipFill>
      <xdr:spPr>
        <a:prstGeom prst="rect">
          <a:avLst/>
        </a:prstGeom>
      </xdr:spPr>
    </xdr:pic>
    <xdr:clientData/>
  </xdr:oneCellAnchor>
  <xdr:oneCellAnchor>
    <xdr:from>
      <xdr:col>0</xdr:col>
      <xdr:colOff>0</xdr:colOff>
      <xdr:row>52</xdr:row>
      <xdr:rowOff>0</xdr:rowOff>
    </xdr:from>
    <xdr:ext cx="228600" cy="323850"/>
    <xdr:pic>
      <xdr:nvPicPr>
        <xdr:cNvPr id="40" name="Image 39" descr="Picture">
          <a:extLst>
            <a:ext uri="{FF2B5EF4-FFF2-40B4-BE49-F238E27FC236}">
              <a16:creationId xmlns:a16="http://schemas.microsoft.com/office/drawing/2014/main" id="{00000000-0008-0000-0F00-000028000000}"/>
            </a:ext>
          </a:extLst>
        </xdr:cNvPr>
        <xdr:cNvPicPr/>
      </xdr:nvPicPr>
      <xdr:blipFill>
        <a:blip xmlns:r="http://schemas.openxmlformats.org/officeDocument/2006/relationships" r:embed="rId26" cstate="print"/>
        <a:stretch>
          <a:fillRect/>
        </a:stretch>
      </xdr:blipFill>
      <xdr:spPr>
        <a:prstGeom prst="rect">
          <a:avLst/>
        </a:prstGeom>
      </xdr:spPr>
    </xdr:pic>
    <xdr:clientData/>
  </xdr:oneCellAnchor>
  <xdr:oneCellAnchor>
    <xdr:from>
      <xdr:col>0</xdr:col>
      <xdr:colOff>0</xdr:colOff>
      <xdr:row>53</xdr:row>
      <xdr:rowOff>0</xdr:rowOff>
    </xdr:from>
    <xdr:ext cx="219075" cy="323850"/>
    <xdr:pic>
      <xdr:nvPicPr>
        <xdr:cNvPr id="41" name="Image 40" descr="Picture">
          <a:extLst>
            <a:ext uri="{FF2B5EF4-FFF2-40B4-BE49-F238E27FC236}">
              <a16:creationId xmlns:a16="http://schemas.microsoft.com/office/drawing/2014/main" id="{00000000-0008-0000-0F00-000029000000}"/>
            </a:ext>
          </a:extLst>
        </xdr:cNvPr>
        <xdr:cNvPicPr/>
      </xdr:nvPicPr>
      <xdr:blipFill>
        <a:blip xmlns:r="http://schemas.openxmlformats.org/officeDocument/2006/relationships" r:embed="rId27" cstate="print"/>
        <a:stretch>
          <a:fillRect/>
        </a:stretch>
      </xdr:blipFill>
      <xdr:spPr>
        <a:prstGeom prst="rect">
          <a:avLst/>
        </a:prstGeom>
      </xdr:spPr>
    </xdr:pic>
    <xdr:clientData/>
  </xdr:oneCellAnchor>
  <xdr:oneCellAnchor>
    <xdr:from>
      <xdr:col>0</xdr:col>
      <xdr:colOff>0</xdr:colOff>
      <xdr:row>54</xdr:row>
      <xdr:rowOff>0</xdr:rowOff>
    </xdr:from>
    <xdr:ext cx="323850" cy="323850"/>
    <xdr:pic>
      <xdr:nvPicPr>
        <xdr:cNvPr id="42" name="Image 41" descr="Picture">
          <a:extLst>
            <a:ext uri="{FF2B5EF4-FFF2-40B4-BE49-F238E27FC236}">
              <a16:creationId xmlns:a16="http://schemas.microsoft.com/office/drawing/2014/main" id="{00000000-0008-0000-0F00-00002A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55</xdr:row>
      <xdr:rowOff>0</xdr:rowOff>
    </xdr:from>
    <xdr:ext cx="323850" cy="323850"/>
    <xdr:pic>
      <xdr:nvPicPr>
        <xdr:cNvPr id="43" name="Image 42" descr="Picture">
          <a:extLst>
            <a:ext uri="{FF2B5EF4-FFF2-40B4-BE49-F238E27FC236}">
              <a16:creationId xmlns:a16="http://schemas.microsoft.com/office/drawing/2014/main" id="{00000000-0008-0000-0F00-00002B000000}"/>
            </a:ext>
          </a:extLst>
        </xdr:cNvPr>
        <xdr:cNvPicPr/>
      </xdr:nvPicPr>
      <xdr:blipFill>
        <a:blip xmlns:r="http://schemas.openxmlformats.org/officeDocument/2006/relationships" r:embed="rId28" cstate="print"/>
        <a:stretch>
          <a:fillRect/>
        </a:stretch>
      </xdr:blipFill>
      <xdr:spPr>
        <a:prstGeom prst="rect">
          <a:avLst/>
        </a:prstGeom>
      </xdr:spPr>
    </xdr:pic>
    <xdr:clientData/>
  </xdr:oneCellAnchor>
  <xdr:oneCellAnchor>
    <xdr:from>
      <xdr:col>0</xdr:col>
      <xdr:colOff>0</xdr:colOff>
      <xdr:row>56</xdr:row>
      <xdr:rowOff>0</xdr:rowOff>
    </xdr:from>
    <xdr:ext cx="314325" cy="323850"/>
    <xdr:pic>
      <xdr:nvPicPr>
        <xdr:cNvPr id="44" name="Image 43" descr="Picture">
          <a:extLst>
            <a:ext uri="{FF2B5EF4-FFF2-40B4-BE49-F238E27FC236}">
              <a16:creationId xmlns:a16="http://schemas.microsoft.com/office/drawing/2014/main" id="{00000000-0008-0000-0F00-00002C000000}"/>
            </a:ext>
          </a:extLst>
        </xdr:cNvPr>
        <xdr:cNvPicPr/>
      </xdr:nvPicPr>
      <xdr:blipFill>
        <a:blip xmlns:r="http://schemas.openxmlformats.org/officeDocument/2006/relationships" r:embed="rId29" cstate="print"/>
        <a:stretch>
          <a:fillRect/>
        </a:stretch>
      </xdr:blipFill>
      <xdr:spPr>
        <a:prstGeom prst="rect">
          <a:avLst/>
        </a:prstGeom>
      </xdr:spPr>
    </xdr:pic>
    <xdr:clientData/>
  </xdr:oneCellAnchor>
  <xdr:oneCellAnchor>
    <xdr:from>
      <xdr:col>0</xdr:col>
      <xdr:colOff>0</xdr:colOff>
      <xdr:row>57</xdr:row>
      <xdr:rowOff>0</xdr:rowOff>
    </xdr:from>
    <xdr:ext cx="323850" cy="323850"/>
    <xdr:pic>
      <xdr:nvPicPr>
        <xdr:cNvPr id="45" name="Image 44" descr="Picture">
          <a:extLst>
            <a:ext uri="{FF2B5EF4-FFF2-40B4-BE49-F238E27FC236}">
              <a16:creationId xmlns:a16="http://schemas.microsoft.com/office/drawing/2014/main" id="{00000000-0008-0000-0F00-00002D000000}"/>
            </a:ext>
          </a:extLst>
        </xdr:cNvPr>
        <xdr:cNvPicPr/>
      </xdr:nvPicPr>
      <xdr:blipFill>
        <a:blip xmlns:r="http://schemas.openxmlformats.org/officeDocument/2006/relationships" r:embed="rId30" cstate="print"/>
        <a:stretch>
          <a:fillRect/>
        </a:stretch>
      </xdr:blipFill>
      <xdr:spPr>
        <a:prstGeom prst="rect">
          <a:avLst/>
        </a:prstGeom>
      </xdr:spPr>
    </xdr:pic>
    <xdr:clientData/>
  </xdr:oneCellAnchor>
  <xdr:oneCellAnchor>
    <xdr:from>
      <xdr:col>0</xdr:col>
      <xdr:colOff>0</xdr:colOff>
      <xdr:row>58</xdr:row>
      <xdr:rowOff>0</xdr:rowOff>
    </xdr:from>
    <xdr:ext cx="323850" cy="323850"/>
    <xdr:pic>
      <xdr:nvPicPr>
        <xdr:cNvPr id="46" name="Image 45" descr="Picture">
          <a:extLst>
            <a:ext uri="{FF2B5EF4-FFF2-40B4-BE49-F238E27FC236}">
              <a16:creationId xmlns:a16="http://schemas.microsoft.com/office/drawing/2014/main" id="{00000000-0008-0000-0F00-00002E000000}"/>
            </a:ext>
          </a:extLst>
        </xdr:cNvPr>
        <xdr:cNvPicPr/>
      </xdr:nvPicPr>
      <xdr:blipFill>
        <a:blip xmlns:r="http://schemas.openxmlformats.org/officeDocument/2006/relationships" r:embed="rId30" cstate="print"/>
        <a:stretch>
          <a:fillRect/>
        </a:stretch>
      </xdr:blipFill>
      <xdr:spPr>
        <a:prstGeom prst="rect">
          <a:avLst/>
        </a:prstGeom>
      </xdr:spPr>
    </xdr:pic>
    <xdr:clientData/>
  </xdr:oneCellAnchor>
  <xdr:oneCellAnchor>
    <xdr:from>
      <xdr:col>0</xdr:col>
      <xdr:colOff>0</xdr:colOff>
      <xdr:row>59</xdr:row>
      <xdr:rowOff>0</xdr:rowOff>
    </xdr:from>
    <xdr:ext cx="323850" cy="171450"/>
    <xdr:pic>
      <xdr:nvPicPr>
        <xdr:cNvPr id="47" name="Image 46" descr="Picture">
          <a:extLst>
            <a:ext uri="{FF2B5EF4-FFF2-40B4-BE49-F238E27FC236}">
              <a16:creationId xmlns:a16="http://schemas.microsoft.com/office/drawing/2014/main" id="{00000000-0008-0000-0F00-00002F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0</xdr:col>
      <xdr:colOff>0</xdr:colOff>
      <xdr:row>61</xdr:row>
      <xdr:rowOff>0</xdr:rowOff>
    </xdr:from>
    <xdr:ext cx="161925" cy="323850"/>
    <xdr:pic>
      <xdr:nvPicPr>
        <xdr:cNvPr id="48" name="Image 47" descr="Picture">
          <a:extLst>
            <a:ext uri="{FF2B5EF4-FFF2-40B4-BE49-F238E27FC236}">
              <a16:creationId xmlns:a16="http://schemas.microsoft.com/office/drawing/2014/main" id="{00000000-0008-0000-0F00-000030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62</xdr:row>
      <xdr:rowOff>0</xdr:rowOff>
    </xdr:from>
    <xdr:ext cx="209550" cy="323850"/>
    <xdr:pic>
      <xdr:nvPicPr>
        <xdr:cNvPr id="49" name="Image 48" descr="Picture">
          <a:extLst>
            <a:ext uri="{FF2B5EF4-FFF2-40B4-BE49-F238E27FC236}">
              <a16:creationId xmlns:a16="http://schemas.microsoft.com/office/drawing/2014/main" id="{00000000-0008-0000-0F00-000031000000}"/>
            </a:ext>
          </a:extLst>
        </xdr:cNvPr>
        <xdr:cNvPicPr/>
      </xdr:nvPicPr>
      <xdr:blipFill>
        <a:blip xmlns:r="http://schemas.openxmlformats.org/officeDocument/2006/relationships" r:embed="rId33" cstate="print"/>
        <a:stretch>
          <a:fillRect/>
        </a:stretch>
      </xdr:blipFill>
      <xdr:spPr>
        <a:prstGeom prst="rect">
          <a:avLst/>
        </a:prstGeom>
      </xdr:spPr>
    </xdr:pic>
    <xdr:clientData/>
  </xdr:oneCellAnchor>
  <xdr:oneCellAnchor>
    <xdr:from>
      <xdr:col>0</xdr:col>
      <xdr:colOff>0</xdr:colOff>
      <xdr:row>63</xdr:row>
      <xdr:rowOff>0</xdr:rowOff>
    </xdr:from>
    <xdr:ext cx="323850" cy="323850"/>
    <xdr:pic>
      <xdr:nvPicPr>
        <xdr:cNvPr id="50" name="Image 49" descr="Picture">
          <a:extLst>
            <a:ext uri="{FF2B5EF4-FFF2-40B4-BE49-F238E27FC236}">
              <a16:creationId xmlns:a16="http://schemas.microsoft.com/office/drawing/2014/main" id="{00000000-0008-0000-0F00-000032000000}"/>
            </a:ext>
          </a:extLst>
        </xdr:cNvPr>
        <xdr:cNvPicPr/>
      </xdr:nvPicPr>
      <xdr:blipFill>
        <a:blip xmlns:r="http://schemas.openxmlformats.org/officeDocument/2006/relationships" r:embed="rId34" cstate="print"/>
        <a:stretch>
          <a:fillRect/>
        </a:stretch>
      </xdr:blipFill>
      <xdr:spPr>
        <a:prstGeom prst="rect">
          <a:avLst/>
        </a:prstGeom>
      </xdr:spPr>
    </xdr:pic>
    <xdr:clientData/>
  </xdr:oneCellAnchor>
  <xdr:oneCellAnchor>
    <xdr:from>
      <xdr:col>0</xdr:col>
      <xdr:colOff>0</xdr:colOff>
      <xdr:row>64</xdr:row>
      <xdr:rowOff>0</xdr:rowOff>
    </xdr:from>
    <xdr:ext cx="200025" cy="323850"/>
    <xdr:pic>
      <xdr:nvPicPr>
        <xdr:cNvPr id="51" name="Image 50" descr="Picture">
          <a:extLst>
            <a:ext uri="{FF2B5EF4-FFF2-40B4-BE49-F238E27FC236}">
              <a16:creationId xmlns:a16="http://schemas.microsoft.com/office/drawing/2014/main" id="{00000000-0008-0000-0F00-000033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0</xdr:col>
      <xdr:colOff>0</xdr:colOff>
      <xdr:row>65</xdr:row>
      <xdr:rowOff>0</xdr:rowOff>
    </xdr:from>
    <xdr:ext cx="323850" cy="314325"/>
    <xdr:pic>
      <xdr:nvPicPr>
        <xdr:cNvPr id="52" name="Image 51" descr="Picture">
          <a:extLst>
            <a:ext uri="{FF2B5EF4-FFF2-40B4-BE49-F238E27FC236}">
              <a16:creationId xmlns:a16="http://schemas.microsoft.com/office/drawing/2014/main" id="{00000000-0008-0000-0F00-000034000000}"/>
            </a:ext>
          </a:extLst>
        </xdr:cNvPr>
        <xdr:cNvPicPr/>
      </xdr:nvPicPr>
      <xdr:blipFill>
        <a:blip xmlns:r="http://schemas.openxmlformats.org/officeDocument/2006/relationships" r:embed="rId36" cstate="print"/>
        <a:stretch>
          <a:fillRect/>
        </a:stretch>
      </xdr:blipFill>
      <xdr:spPr>
        <a:prstGeom prst="rect">
          <a:avLst/>
        </a:prstGeom>
      </xdr:spPr>
    </xdr:pic>
    <xdr:clientData/>
  </xdr:oneCellAnchor>
  <xdr:oneCellAnchor>
    <xdr:from>
      <xdr:col>0</xdr:col>
      <xdr:colOff>0</xdr:colOff>
      <xdr:row>66</xdr:row>
      <xdr:rowOff>0</xdr:rowOff>
    </xdr:from>
    <xdr:ext cx="323850" cy="323850"/>
    <xdr:pic>
      <xdr:nvPicPr>
        <xdr:cNvPr id="53" name="Image 52" descr="Picture">
          <a:extLst>
            <a:ext uri="{FF2B5EF4-FFF2-40B4-BE49-F238E27FC236}">
              <a16:creationId xmlns:a16="http://schemas.microsoft.com/office/drawing/2014/main" id="{00000000-0008-0000-0F00-000035000000}"/>
            </a:ext>
          </a:extLst>
        </xdr:cNvPr>
        <xdr:cNvPicPr/>
      </xdr:nvPicPr>
      <xdr:blipFill>
        <a:blip xmlns:r="http://schemas.openxmlformats.org/officeDocument/2006/relationships" r:embed="rId28" cstate="print"/>
        <a:stretch>
          <a:fillRect/>
        </a:stretch>
      </xdr:blipFill>
      <xdr:spPr>
        <a:prstGeom prst="rect">
          <a:avLst/>
        </a:prstGeom>
      </xdr:spPr>
    </xdr:pic>
    <xdr:clientData/>
  </xdr:oneCellAnchor>
  <xdr:oneCellAnchor>
    <xdr:from>
      <xdr:col>0</xdr:col>
      <xdr:colOff>0</xdr:colOff>
      <xdr:row>67</xdr:row>
      <xdr:rowOff>0</xdr:rowOff>
    </xdr:from>
    <xdr:ext cx="314325" cy="323850"/>
    <xdr:pic>
      <xdr:nvPicPr>
        <xdr:cNvPr id="54" name="Image 53" descr="Picture">
          <a:extLst>
            <a:ext uri="{FF2B5EF4-FFF2-40B4-BE49-F238E27FC236}">
              <a16:creationId xmlns:a16="http://schemas.microsoft.com/office/drawing/2014/main" id="{00000000-0008-0000-0F00-000036000000}"/>
            </a:ext>
          </a:extLst>
        </xdr:cNvPr>
        <xdr:cNvPicPr/>
      </xdr:nvPicPr>
      <xdr:blipFill>
        <a:blip xmlns:r="http://schemas.openxmlformats.org/officeDocument/2006/relationships" r:embed="rId29" cstate="print"/>
        <a:stretch>
          <a:fillRect/>
        </a:stretch>
      </xdr:blipFill>
      <xdr:spPr>
        <a:prstGeom prst="rect">
          <a:avLst/>
        </a:prstGeom>
      </xdr:spPr>
    </xdr:pic>
    <xdr:clientData/>
  </xdr:oneCellAnchor>
  <xdr:oneCellAnchor>
    <xdr:from>
      <xdr:col>0</xdr:col>
      <xdr:colOff>0</xdr:colOff>
      <xdr:row>68</xdr:row>
      <xdr:rowOff>0</xdr:rowOff>
    </xdr:from>
    <xdr:ext cx="323850" cy="323850"/>
    <xdr:pic>
      <xdr:nvPicPr>
        <xdr:cNvPr id="55" name="Image 54" descr="Picture">
          <a:extLst>
            <a:ext uri="{FF2B5EF4-FFF2-40B4-BE49-F238E27FC236}">
              <a16:creationId xmlns:a16="http://schemas.microsoft.com/office/drawing/2014/main" id="{00000000-0008-0000-0F00-000037000000}"/>
            </a:ext>
          </a:extLst>
        </xdr:cNvPr>
        <xdr:cNvPicPr/>
      </xdr:nvPicPr>
      <xdr:blipFill>
        <a:blip xmlns:r="http://schemas.openxmlformats.org/officeDocument/2006/relationships" r:embed="rId30" cstate="print"/>
        <a:stretch>
          <a:fillRect/>
        </a:stretch>
      </xdr:blipFill>
      <xdr:spPr>
        <a:prstGeom prst="rect">
          <a:avLst/>
        </a:prstGeom>
      </xdr:spPr>
    </xdr:pic>
    <xdr:clientData/>
  </xdr:oneCellAnchor>
  <xdr:oneCellAnchor>
    <xdr:from>
      <xdr:col>0</xdr:col>
      <xdr:colOff>0</xdr:colOff>
      <xdr:row>69</xdr:row>
      <xdr:rowOff>0</xdr:rowOff>
    </xdr:from>
    <xdr:ext cx="323850" cy="323850"/>
    <xdr:pic>
      <xdr:nvPicPr>
        <xdr:cNvPr id="56" name="Image 55" descr="Picture">
          <a:extLst>
            <a:ext uri="{FF2B5EF4-FFF2-40B4-BE49-F238E27FC236}">
              <a16:creationId xmlns:a16="http://schemas.microsoft.com/office/drawing/2014/main" id="{00000000-0008-0000-0F00-000038000000}"/>
            </a:ext>
          </a:extLst>
        </xdr:cNvPr>
        <xdr:cNvPicPr/>
      </xdr:nvPicPr>
      <xdr:blipFill>
        <a:blip xmlns:r="http://schemas.openxmlformats.org/officeDocument/2006/relationships" r:embed="rId30" cstate="print"/>
        <a:stretch>
          <a:fillRect/>
        </a:stretch>
      </xdr:blipFill>
      <xdr:spPr>
        <a:prstGeom prst="rect">
          <a:avLst/>
        </a:prstGeom>
      </xdr:spPr>
    </xdr:pic>
    <xdr:clientData/>
  </xdr:oneCellAnchor>
  <xdr:oneCellAnchor>
    <xdr:from>
      <xdr:col>0</xdr:col>
      <xdr:colOff>0</xdr:colOff>
      <xdr:row>70</xdr:row>
      <xdr:rowOff>0</xdr:rowOff>
    </xdr:from>
    <xdr:ext cx="323850" cy="171450"/>
    <xdr:pic>
      <xdr:nvPicPr>
        <xdr:cNvPr id="57" name="Image 56" descr="Picture">
          <a:extLst>
            <a:ext uri="{FF2B5EF4-FFF2-40B4-BE49-F238E27FC236}">
              <a16:creationId xmlns:a16="http://schemas.microsoft.com/office/drawing/2014/main" id="{00000000-0008-0000-0F00-000039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0</xdr:col>
      <xdr:colOff>0</xdr:colOff>
      <xdr:row>74</xdr:row>
      <xdr:rowOff>0</xdr:rowOff>
    </xdr:from>
    <xdr:ext cx="247650" cy="247650"/>
    <xdr:pic>
      <xdr:nvPicPr>
        <xdr:cNvPr id="58" name="Image 57" descr="Picture">
          <a:extLst>
            <a:ext uri="{FF2B5EF4-FFF2-40B4-BE49-F238E27FC236}">
              <a16:creationId xmlns:a16="http://schemas.microsoft.com/office/drawing/2014/main" id="{00000000-0008-0000-0F00-00003A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75</xdr:row>
      <xdr:rowOff>0</xdr:rowOff>
    </xdr:from>
    <xdr:ext cx="247650" cy="247650"/>
    <xdr:pic>
      <xdr:nvPicPr>
        <xdr:cNvPr id="59" name="Image 58" descr="Picture">
          <a:extLst>
            <a:ext uri="{FF2B5EF4-FFF2-40B4-BE49-F238E27FC236}">
              <a16:creationId xmlns:a16="http://schemas.microsoft.com/office/drawing/2014/main" id="{00000000-0008-0000-0F00-00003B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76</xdr:row>
      <xdr:rowOff>0</xdr:rowOff>
    </xdr:from>
    <xdr:ext cx="247650" cy="247650"/>
    <xdr:pic>
      <xdr:nvPicPr>
        <xdr:cNvPr id="60" name="Image 59" descr="Picture">
          <a:extLst>
            <a:ext uri="{FF2B5EF4-FFF2-40B4-BE49-F238E27FC236}">
              <a16:creationId xmlns:a16="http://schemas.microsoft.com/office/drawing/2014/main" id="{00000000-0008-0000-0F00-00003C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77</xdr:row>
      <xdr:rowOff>0</xdr:rowOff>
    </xdr:from>
    <xdr:ext cx="247650" cy="247650"/>
    <xdr:pic>
      <xdr:nvPicPr>
        <xdr:cNvPr id="61" name="Image 60" descr="Picture">
          <a:extLst>
            <a:ext uri="{FF2B5EF4-FFF2-40B4-BE49-F238E27FC236}">
              <a16:creationId xmlns:a16="http://schemas.microsoft.com/office/drawing/2014/main" id="{00000000-0008-0000-0F00-00003D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0</xdr:col>
      <xdr:colOff>0</xdr:colOff>
      <xdr:row>78</xdr:row>
      <xdr:rowOff>0</xdr:rowOff>
    </xdr:from>
    <xdr:ext cx="247650" cy="247650"/>
    <xdr:pic>
      <xdr:nvPicPr>
        <xdr:cNvPr id="62" name="Image 61" descr="Picture">
          <a:extLst>
            <a:ext uri="{FF2B5EF4-FFF2-40B4-BE49-F238E27FC236}">
              <a16:creationId xmlns:a16="http://schemas.microsoft.com/office/drawing/2014/main" id="{00000000-0008-0000-0F00-00003E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79</xdr:row>
      <xdr:rowOff>0</xdr:rowOff>
    </xdr:from>
    <xdr:ext cx="247650" cy="247650"/>
    <xdr:pic>
      <xdr:nvPicPr>
        <xdr:cNvPr id="63" name="Image 62" descr="Picture">
          <a:extLst>
            <a:ext uri="{FF2B5EF4-FFF2-40B4-BE49-F238E27FC236}">
              <a16:creationId xmlns:a16="http://schemas.microsoft.com/office/drawing/2014/main" id="{00000000-0008-0000-0F00-00003F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80</xdr:row>
      <xdr:rowOff>0</xdr:rowOff>
    </xdr:from>
    <xdr:ext cx="247650" cy="247650"/>
    <xdr:pic>
      <xdr:nvPicPr>
        <xdr:cNvPr id="64" name="Image 63" descr="Picture">
          <a:extLst>
            <a:ext uri="{FF2B5EF4-FFF2-40B4-BE49-F238E27FC236}">
              <a16:creationId xmlns:a16="http://schemas.microsoft.com/office/drawing/2014/main" id="{00000000-0008-0000-0F00-000040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81</xdr:row>
      <xdr:rowOff>0</xdr:rowOff>
    </xdr:from>
    <xdr:ext cx="247650" cy="247650"/>
    <xdr:pic>
      <xdr:nvPicPr>
        <xdr:cNvPr id="65" name="Image 64" descr="Picture">
          <a:extLst>
            <a:ext uri="{FF2B5EF4-FFF2-40B4-BE49-F238E27FC236}">
              <a16:creationId xmlns:a16="http://schemas.microsoft.com/office/drawing/2014/main" id="{00000000-0008-0000-0F00-000041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82</xdr:row>
      <xdr:rowOff>0</xdr:rowOff>
    </xdr:from>
    <xdr:ext cx="247650" cy="247650"/>
    <xdr:pic>
      <xdr:nvPicPr>
        <xdr:cNvPr id="66" name="Image 65" descr="Picture">
          <a:extLst>
            <a:ext uri="{FF2B5EF4-FFF2-40B4-BE49-F238E27FC236}">
              <a16:creationId xmlns:a16="http://schemas.microsoft.com/office/drawing/2014/main" id="{00000000-0008-0000-0F00-000042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83</xdr:row>
      <xdr:rowOff>0</xdr:rowOff>
    </xdr:from>
    <xdr:ext cx="247650" cy="247650"/>
    <xdr:pic>
      <xdr:nvPicPr>
        <xdr:cNvPr id="67" name="Image 66" descr="Picture">
          <a:extLst>
            <a:ext uri="{FF2B5EF4-FFF2-40B4-BE49-F238E27FC236}">
              <a16:creationId xmlns:a16="http://schemas.microsoft.com/office/drawing/2014/main" id="{00000000-0008-0000-0F00-000043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0</xdr:col>
      <xdr:colOff>0</xdr:colOff>
      <xdr:row>85</xdr:row>
      <xdr:rowOff>0</xdr:rowOff>
    </xdr:from>
    <xdr:ext cx="209550" cy="323850"/>
    <xdr:pic>
      <xdr:nvPicPr>
        <xdr:cNvPr id="68" name="Image 67" descr="Picture">
          <a:extLst>
            <a:ext uri="{FF2B5EF4-FFF2-40B4-BE49-F238E27FC236}">
              <a16:creationId xmlns:a16="http://schemas.microsoft.com/office/drawing/2014/main" id="{00000000-0008-0000-0F00-000044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86</xdr:row>
      <xdr:rowOff>0</xdr:rowOff>
    </xdr:from>
    <xdr:ext cx="209550" cy="323850"/>
    <xdr:pic>
      <xdr:nvPicPr>
        <xdr:cNvPr id="69" name="Image 68" descr="Picture">
          <a:extLst>
            <a:ext uri="{FF2B5EF4-FFF2-40B4-BE49-F238E27FC236}">
              <a16:creationId xmlns:a16="http://schemas.microsoft.com/office/drawing/2014/main" id="{00000000-0008-0000-0F00-000045000000}"/>
            </a:ext>
          </a:extLst>
        </xdr:cNvPr>
        <xdr:cNvPicPr/>
      </xdr:nvPicPr>
      <xdr:blipFill>
        <a:blip xmlns:r="http://schemas.openxmlformats.org/officeDocument/2006/relationships" r:embed="rId25" cstate="print"/>
        <a:stretch>
          <a:fillRect/>
        </a:stretch>
      </xdr:blipFill>
      <xdr:spPr>
        <a:prstGeom prst="rect">
          <a:avLst/>
        </a:prstGeom>
      </xdr:spPr>
    </xdr:pic>
    <xdr:clientData/>
  </xdr:oneCellAnchor>
  <xdr:oneCellAnchor>
    <xdr:from>
      <xdr:col>0</xdr:col>
      <xdr:colOff>0</xdr:colOff>
      <xdr:row>87</xdr:row>
      <xdr:rowOff>0</xdr:rowOff>
    </xdr:from>
    <xdr:ext cx="228600" cy="323850"/>
    <xdr:pic>
      <xdr:nvPicPr>
        <xdr:cNvPr id="70" name="Image 69" descr="Picture">
          <a:extLst>
            <a:ext uri="{FF2B5EF4-FFF2-40B4-BE49-F238E27FC236}">
              <a16:creationId xmlns:a16="http://schemas.microsoft.com/office/drawing/2014/main" id="{00000000-0008-0000-0F00-000046000000}"/>
            </a:ext>
          </a:extLst>
        </xdr:cNvPr>
        <xdr:cNvPicPr/>
      </xdr:nvPicPr>
      <xdr:blipFill>
        <a:blip xmlns:r="http://schemas.openxmlformats.org/officeDocument/2006/relationships" r:embed="rId26" cstate="print"/>
        <a:stretch>
          <a:fillRect/>
        </a:stretch>
      </xdr:blipFill>
      <xdr:spPr>
        <a:prstGeom prst="rect">
          <a:avLst/>
        </a:prstGeom>
      </xdr:spPr>
    </xdr:pic>
    <xdr:clientData/>
  </xdr:oneCellAnchor>
  <xdr:oneCellAnchor>
    <xdr:from>
      <xdr:col>0</xdr:col>
      <xdr:colOff>0</xdr:colOff>
      <xdr:row>88</xdr:row>
      <xdr:rowOff>0</xdr:rowOff>
    </xdr:from>
    <xdr:ext cx="200025" cy="323850"/>
    <xdr:pic>
      <xdr:nvPicPr>
        <xdr:cNvPr id="71" name="Image 70" descr="Picture">
          <a:extLst>
            <a:ext uri="{FF2B5EF4-FFF2-40B4-BE49-F238E27FC236}">
              <a16:creationId xmlns:a16="http://schemas.microsoft.com/office/drawing/2014/main" id="{00000000-0008-0000-0F00-000047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0</xdr:col>
      <xdr:colOff>0</xdr:colOff>
      <xdr:row>89</xdr:row>
      <xdr:rowOff>0</xdr:rowOff>
    </xdr:from>
    <xdr:ext cx="323850" cy="323850"/>
    <xdr:pic>
      <xdr:nvPicPr>
        <xdr:cNvPr id="72" name="Image 71" descr="Picture">
          <a:extLst>
            <a:ext uri="{FF2B5EF4-FFF2-40B4-BE49-F238E27FC236}">
              <a16:creationId xmlns:a16="http://schemas.microsoft.com/office/drawing/2014/main" id="{00000000-0008-0000-0F00-000048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90</xdr:row>
      <xdr:rowOff>0</xdr:rowOff>
    </xdr:from>
    <xdr:ext cx="304800" cy="323850"/>
    <xdr:pic>
      <xdr:nvPicPr>
        <xdr:cNvPr id="73" name="Image 72" descr="Picture">
          <a:extLst>
            <a:ext uri="{FF2B5EF4-FFF2-40B4-BE49-F238E27FC236}">
              <a16:creationId xmlns:a16="http://schemas.microsoft.com/office/drawing/2014/main" id="{00000000-0008-0000-0F00-000049000000}"/>
            </a:ext>
          </a:extLst>
        </xdr:cNvPr>
        <xdr:cNvPicPr/>
      </xdr:nvPicPr>
      <xdr:blipFill>
        <a:blip xmlns:r="http://schemas.openxmlformats.org/officeDocument/2006/relationships" r:embed="rId38" cstate="print"/>
        <a:stretch>
          <a:fillRect/>
        </a:stretch>
      </xdr:blipFill>
      <xdr:spPr>
        <a:prstGeom prst="rect">
          <a:avLst/>
        </a:prstGeom>
      </xdr:spPr>
    </xdr:pic>
    <xdr:clientData/>
  </xdr:oneCellAnchor>
  <xdr:oneCellAnchor>
    <xdr:from>
      <xdr:col>0</xdr:col>
      <xdr:colOff>0</xdr:colOff>
      <xdr:row>91</xdr:row>
      <xdr:rowOff>0</xdr:rowOff>
    </xdr:from>
    <xdr:ext cx="314325" cy="323850"/>
    <xdr:pic>
      <xdr:nvPicPr>
        <xdr:cNvPr id="74" name="Image 73" descr="Picture">
          <a:extLst>
            <a:ext uri="{FF2B5EF4-FFF2-40B4-BE49-F238E27FC236}">
              <a16:creationId xmlns:a16="http://schemas.microsoft.com/office/drawing/2014/main" id="{00000000-0008-0000-0F00-00004A000000}"/>
            </a:ext>
          </a:extLst>
        </xdr:cNvPr>
        <xdr:cNvPicPr/>
      </xdr:nvPicPr>
      <xdr:blipFill>
        <a:blip xmlns:r="http://schemas.openxmlformats.org/officeDocument/2006/relationships" r:embed="rId29" cstate="print"/>
        <a:stretch>
          <a:fillRect/>
        </a:stretch>
      </xdr:blipFill>
      <xdr:spPr>
        <a:prstGeom prst="rect">
          <a:avLst/>
        </a:prstGeom>
      </xdr:spPr>
    </xdr:pic>
    <xdr:clientData/>
  </xdr:oneCellAnchor>
  <xdr:oneCellAnchor>
    <xdr:from>
      <xdr:col>0</xdr:col>
      <xdr:colOff>0</xdr:colOff>
      <xdr:row>92</xdr:row>
      <xdr:rowOff>0</xdr:rowOff>
    </xdr:from>
    <xdr:ext cx="323850" cy="323850"/>
    <xdr:pic>
      <xdr:nvPicPr>
        <xdr:cNvPr id="75" name="Image 74" descr="Picture">
          <a:extLst>
            <a:ext uri="{FF2B5EF4-FFF2-40B4-BE49-F238E27FC236}">
              <a16:creationId xmlns:a16="http://schemas.microsoft.com/office/drawing/2014/main" id="{00000000-0008-0000-0F00-00004B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93</xdr:row>
      <xdr:rowOff>0</xdr:rowOff>
    </xdr:from>
    <xdr:ext cx="323850" cy="323850"/>
    <xdr:pic>
      <xdr:nvPicPr>
        <xdr:cNvPr id="76" name="Image 75" descr="Picture">
          <a:extLst>
            <a:ext uri="{FF2B5EF4-FFF2-40B4-BE49-F238E27FC236}">
              <a16:creationId xmlns:a16="http://schemas.microsoft.com/office/drawing/2014/main" id="{00000000-0008-0000-0F00-00004C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94</xdr:row>
      <xdr:rowOff>0</xdr:rowOff>
    </xdr:from>
    <xdr:ext cx="323850" cy="171450"/>
    <xdr:pic>
      <xdr:nvPicPr>
        <xdr:cNvPr id="77" name="Image 76" descr="Picture">
          <a:extLst>
            <a:ext uri="{FF2B5EF4-FFF2-40B4-BE49-F238E27FC236}">
              <a16:creationId xmlns:a16="http://schemas.microsoft.com/office/drawing/2014/main" id="{00000000-0008-0000-0F00-00004D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0</xdr:col>
      <xdr:colOff>0</xdr:colOff>
      <xdr:row>95</xdr:row>
      <xdr:rowOff>0</xdr:rowOff>
    </xdr:from>
    <xdr:ext cx="323850" cy="323850"/>
    <xdr:pic>
      <xdr:nvPicPr>
        <xdr:cNvPr id="78" name="Image 77" descr="Picture">
          <a:extLst>
            <a:ext uri="{FF2B5EF4-FFF2-40B4-BE49-F238E27FC236}">
              <a16:creationId xmlns:a16="http://schemas.microsoft.com/office/drawing/2014/main" id="{00000000-0008-0000-0F00-00004E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96</xdr:row>
      <xdr:rowOff>0</xdr:rowOff>
    </xdr:from>
    <xdr:ext cx="323850" cy="323850"/>
    <xdr:pic>
      <xdr:nvPicPr>
        <xdr:cNvPr id="79" name="Image 78" descr="Picture">
          <a:extLst>
            <a:ext uri="{FF2B5EF4-FFF2-40B4-BE49-F238E27FC236}">
              <a16:creationId xmlns:a16="http://schemas.microsoft.com/office/drawing/2014/main" id="{00000000-0008-0000-0F00-00004F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98</xdr:row>
      <xdr:rowOff>0</xdr:rowOff>
    </xdr:from>
    <xdr:ext cx="161925" cy="323850"/>
    <xdr:pic>
      <xdr:nvPicPr>
        <xdr:cNvPr id="80" name="Image 79" descr="Picture">
          <a:extLst>
            <a:ext uri="{FF2B5EF4-FFF2-40B4-BE49-F238E27FC236}">
              <a16:creationId xmlns:a16="http://schemas.microsoft.com/office/drawing/2014/main" id="{00000000-0008-0000-0F00-000050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99</xdr:row>
      <xdr:rowOff>0</xdr:rowOff>
    </xdr:from>
    <xdr:ext cx="209550" cy="323850"/>
    <xdr:pic>
      <xdr:nvPicPr>
        <xdr:cNvPr id="81" name="Image 80" descr="Picture">
          <a:extLst>
            <a:ext uri="{FF2B5EF4-FFF2-40B4-BE49-F238E27FC236}">
              <a16:creationId xmlns:a16="http://schemas.microsoft.com/office/drawing/2014/main" id="{00000000-0008-0000-0F00-000051000000}"/>
            </a:ext>
          </a:extLst>
        </xdr:cNvPr>
        <xdr:cNvPicPr/>
      </xdr:nvPicPr>
      <xdr:blipFill>
        <a:blip xmlns:r="http://schemas.openxmlformats.org/officeDocument/2006/relationships" r:embed="rId33" cstate="print"/>
        <a:stretch>
          <a:fillRect/>
        </a:stretch>
      </xdr:blipFill>
      <xdr:spPr>
        <a:prstGeom prst="rect">
          <a:avLst/>
        </a:prstGeom>
      </xdr:spPr>
    </xdr:pic>
    <xdr:clientData/>
  </xdr:oneCellAnchor>
  <xdr:oneCellAnchor>
    <xdr:from>
      <xdr:col>0</xdr:col>
      <xdr:colOff>0</xdr:colOff>
      <xdr:row>100</xdr:row>
      <xdr:rowOff>0</xdr:rowOff>
    </xdr:from>
    <xdr:ext cx="323850" cy="323850"/>
    <xdr:pic>
      <xdr:nvPicPr>
        <xdr:cNvPr id="82" name="Image 81" descr="Picture">
          <a:extLst>
            <a:ext uri="{FF2B5EF4-FFF2-40B4-BE49-F238E27FC236}">
              <a16:creationId xmlns:a16="http://schemas.microsoft.com/office/drawing/2014/main" id="{00000000-0008-0000-0F00-000052000000}"/>
            </a:ext>
          </a:extLst>
        </xdr:cNvPr>
        <xdr:cNvPicPr/>
      </xdr:nvPicPr>
      <xdr:blipFill>
        <a:blip xmlns:r="http://schemas.openxmlformats.org/officeDocument/2006/relationships" r:embed="rId34" cstate="print"/>
        <a:stretch>
          <a:fillRect/>
        </a:stretch>
      </xdr:blipFill>
      <xdr:spPr>
        <a:prstGeom prst="rect">
          <a:avLst/>
        </a:prstGeom>
      </xdr:spPr>
    </xdr:pic>
    <xdr:clientData/>
  </xdr:oneCellAnchor>
  <xdr:oneCellAnchor>
    <xdr:from>
      <xdr:col>0</xdr:col>
      <xdr:colOff>0</xdr:colOff>
      <xdr:row>101</xdr:row>
      <xdr:rowOff>0</xdr:rowOff>
    </xdr:from>
    <xdr:ext cx="200025" cy="323850"/>
    <xdr:pic>
      <xdr:nvPicPr>
        <xdr:cNvPr id="83" name="Image 82" descr="Picture">
          <a:extLst>
            <a:ext uri="{FF2B5EF4-FFF2-40B4-BE49-F238E27FC236}">
              <a16:creationId xmlns:a16="http://schemas.microsoft.com/office/drawing/2014/main" id="{00000000-0008-0000-0F00-000053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0</xdr:col>
      <xdr:colOff>0</xdr:colOff>
      <xdr:row>102</xdr:row>
      <xdr:rowOff>0</xdr:rowOff>
    </xdr:from>
    <xdr:ext cx="323850" cy="314325"/>
    <xdr:pic>
      <xdr:nvPicPr>
        <xdr:cNvPr id="84" name="Image 83" descr="Picture">
          <a:extLst>
            <a:ext uri="{FF2B5EF4-FFF2-40B4-BE49-F238E27FC236}">
              <a16:creationId xmlns:a16="http://schemas.microsoft.com/office/drawing/2014/main" id="{00000000-0008-0000-0F00-000054000000}"/>
            </a:ext>
          </a:extLst>
        </xdr:cNvPr>
        <xdr:cNvPicPr/>
      </xdr:nvPicPr>
      <xdr:blipFill>
        <a:blip xmlns:r="http://schemas.openxmlformats.org/officeDocument/2006/relationships" r:embed="rId36" cstate="print"/>
        <a:stretch>
          <a:fillRect/>
        </a:stretch>
      </xdr:blipFill>
      <xdr:spPr>
        <a:prstGeom prst="rect">
          <a:avLst/>
        </a:prstGeom>
      </xdr:spPr>
    </xdr:pic>
    <xdr:clientData/>
  </xdr:oneCellAnchor>
  <xdr:oneCellAnchor>
    <xdr:from>
      <xdr:col>0</xdr:col>
      <xdr:colOff>0</xdr:colOff>
      <xdr:row>103</xdr:row>
      <xdr:rowOff>0</xdr:rowOff>
    </xdr:from>
    <xdr:ext cx="304800" cy="323850"/>
    <xdr:pic>
      <xdr:nvPicPr>
        <xdr:cNvPr id="85" name="Image 84" descr="Picture">
          <a:extLst>
            <a:ext uri="{FF2B5EF4-FFF2-40B4-BE49-F238E27FC236}">
              <a16:creationId xmlns:a16="http://schemas.microsoft.com/office/drawing/2014/main" id="{00000000-0008-0000-0F00-000055000000}"/>
            </a:ext>
          </a:extLst>
        </xdr:cNvPr>
        <xdr:cNvPicPr/>
      </xdr:nvPicPr>
      <xdr:blipFill>
        <a:blip xmlns:r="http://schemas.openxmlformats.org/officeDocument/2006/relationships" r:embed="rId38" cstate="print"/>
        <a:stretch>
          <a:fillRect/>
        </a:stretch>
      </xdr:blipFill>
      <xdr:spPr>
        <a:prstGeom prst="rect">
          <a:avLst/>
        </a:prstGeom>
      </xdr:spPr>
    </xdr:pic>
    <xdr:clientData/>
  </xdr:oneCellAnchor>
  <xdr:oneCellAnchor>
    <xdr:from>
      <xdr:col>0</xdr:col>
      <xdr:colOff>0</xdr:colOff>
      <xdr:row>104</xdr:row>
      <xdr:rowOff>0</xdr:rowOff>
    </xdr:from>
    <xdr:ext cx="314325" cy="323850"/>
    <xdr:pic>
      <xdr:nvPicPr>
        <xdr:cNvPr id="86" name="Image 85" descr="Picture">
          <a:extLst>
            <a:ext uri="{FF2B5EF4-FFF2-40B4-BE49-F238E27FC236}">
              <a16:creationId xmlns:a16="http://schemas.microsoft.com/office/drawing/2014/main" id="{00000000-0008-0000-0F00-000056000000}"/>
            </a:ext>
          </a:extLst>
        </xdr:cNvPr>
        <xdr:cNvPicPr/>
      </xdr:nvPicPr>
      <xdr:blipFill>
        <a:blip xmlns:r="http://schemas.openxmlformats.org/officeDocument/2006/relationships" r:embed="rId29" cstate="print"/>
        <a:stretch>
          <a:fillRect/>
        </a:stretch>
      </xdr:blipFill>
      <xdr:spPr>
        <a:prstGeom prst="rect">
          <a:avLst/>
        </a:prstGeom>
      </xdr:spPr>
    </xdr:pic>
    <xdr:clientData/>
  </xdr:oneCellAnchor>
  <xdr:oneCellAnchor>
    <xdr:from>
      <xdr:col>0</xdr:col>
      <xdr:colOff>0</xdr:colOff>
      <xdr:row>105</xdr:row>
      <xdr:rowOff>0</xdr:rowOff>
    </xdr:from>
    <xdr:ext cx="323850" cy="323850"/>
    <xdr:pic>
      <xdr:nvPicPr>
        <xdr:cNvPr id="87" name="Image 86" descr="Picture">
          <a:extLst>
            <a:ext uri="{FF2B5EF4-FFF2-40B4-BE49-F238E27FC236}">
              <a16:creationId xmlns:a16="http://schemas.microsoft.com/office/drawing/2014/main" id="{00000000-0008-0000-0F00-000057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106</xdr:row>
      <xdr:rowOff>0</xdr:rowOff>
    </xdr:from>
    <xdr:ext cx="323850" cy="323850"/>
    <xdr:pic>
      <xdr:nvPicPr>
        <xdr:cNvPr id="88" name="Image 87" descr="Picture">
          <a:extLst>
            <a:ext uri="{FF2B5EF4-FFF2-40B4-BE49-F238E27FC236}">
              <a16:creationId xmlns:a16="http://schemas.microsoft.com/office/drawing/2014/main" id="{00000000-0008-0000-0F00-000058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107</xdr:row>
      <xdr:rowOff>0</xdr:rowOff>
    </xdr:from>
    <xdr:ext cx="323850" cy="171450"/>
    <xdr:pic>
      <xdr:nvPicPr>
        <xdr:cNvPr id="89" name="Image 88" descr="Picture">
          <a:extLst>
            <a:ext uri="{FF2B5EF4-FFF2-40B4-BE49-F238E27FC236}">
              <a16:creationId xmlns:a16="http://schemas.microsoft.com/office/drawing/2014/main" id="{00000000-0008-0000-0F00-000059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0</xdr:col>
      <xdr:colOff>0</xdr:colOff>
      <xdr:row>108</xdr:row>
      <xdr:rowOff>0</xdr:rowOff>
    </xdr:from>
    <xdr:ext cx="323850" cy="323850"/>
    <xdr:pic>
      <xdr:nvPicPr>
        <xdr:cNvPr id="90" name="Image 89" descr="Picture">
          <a:extLst>
            <a:ext uri="{FF2B5EF4-FFF2-40B4-BE49-F238E27FC236}">
              <a16:creationId xmlns:a16="http://schemas.microsoft.com/office/drawing/2014/main" id="{00000000-0008-0000-0F00-00005A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109</xdr:row>
      <xdr:rowOff>0</xdr:rowOff>
    </xdr:from>
    <xdr:ext cx="323850" cy="323850"/>
    <xdr:pic>
      <xdr:nvPicPr>
        <xdr:cNvPr id="91" name="Image 90" descr="Picture">
          <a:extLst>
            <a:ext uri="{FF2B5EF4-FFF2-40B4-BE49-F238E27FC236}">
              <a16:creationId xmlns:a16="http://schemas.microsoft.com/office/drawing/2014/main" id="{00000000-0008-0000-0F00-00005B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113</xdr:row>
      <xdr:rowOff>0</xdr:rowOff>
    </xdr:from>
    <xdr:ext cx="247650" cy="247650"/>
    <xdr:pic>
      <xdr:nvPicPr>
        <xdr:cNvPr id="92" name="Image 91" descr="Picture">
          <a:extLst>
            <a:ext uri="{FF2B5EF4-FFF2-40B4-BE49-F238E27FC236}">
              <a16:creationId xmlns:a16="http://schemas.microsoft.com/office/drawing/2014/main" id="{00000000-0008-0000-0F00-00005C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114</xdr:row>
      <xdr:rowOff>0</xdr:rowOff>
    </xdr:from>
    <xdr:ext cx="247650" cy="247650"/>
    <xdr:pic>
      <xdr:nvPicPr>
        <xdr:cNvPr id="93" name="Image 92" descr="Picture">
          <a:extLst>
            <a:ext uri="{FF2B5EF4-FFF2-40B4-BE49-F238E27FC236}">
              <a16:creationId xmlns:a16="http://schemas.microsoft.com/office/drawing/2014/main" id="{00000000-0008-0000-0F00-00005D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115</xdr:row>
      <xdr:rowOff>0</xdr:rowOff>
    </xdr:from>
    <xdr:ext cx="247650" cy="247650"/>
    <xdr:pic>
      <xdr:nvPicPr>
        <xdr:cNvPr id="94" name="Image 93" descr="Picture">
          <a:extLst>
            <a:ext uri="{FF2B5EF4-FFF2-40B4-BE49-F238E27FC236}">
              <a16:creationId xmlns:a16="http://schemas.microsoft.com/office/drawing/2014/main" id="{00000000-0008-0000-0F00-00005E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116</xdr:row>
      <xdr:rowOff>0</xdr:rowOff>
    </xdr:from>
    <xdr:ext cx="247650" cy="247650"/>
    <xdr:pic>
      <xdr:nvPicPr>
        <xdr:cNvPr id="95" name="Image 94" descr="Picture">
          <a:extLst>
            <a:ext uri="{FF2B5EF4-FFF2-40B4-BE49-F238E27FC236}">
              <a16:creationId xmlns:a16="http://schemas.microsoft.com/office/drawing/2014/main" id="{00000000-0008-0000-0F00-00005F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0</xdr:col>
      <xdr:colOff>0</xdr:colOff>
      <xdr:row>117</xdr:row>
      <xdr:rowOff>0</xdr:rowOff>
    </xdr:from>
    <xdr:ext cx="247650" cy="247650"/>
    <xdr:pic>
      <xdr:nvPicPr>
        <xdr:cNvPr id="96" name="Image 95" descr="Picture">
          <a:extLst>
            <a:ext uri="{FF2B5EF4-FFF2-40B4-BE49-F238E27FC236}">
              <a16:creationId xmlns:a16="http://schemas.microsoft.com/office/drawing/2014/main" id="{00000000-0008-0000-0F00-000060000000}"/>
            </a:ext>
          </a:extLst>
        </xdr:cNvPr>
        <xdr:cNvPicPr/>
      </xdr:nvPicPr>
      <xdr:blipFill>
        <a:blip xmlns:r="http://schemas.openxmlformats.org/officeDocument/2006/relationships" r:embed="rId42" cstate="print"/>
        <a:stretch>
          <a:fillRect/>
        </a:stretch>
      </xdr:blipFill>
      <xdr:spPr>
        <a:prstGeom prst="rect">
          <a:avLst/>
        </a:prstGeom>
      </xdr:spPr>
    </xdr:pic>
    <xdr:clientData/>
  </xdr:oneCellAnchor>
  <xdr:oneCellAnchor>
    <xdr:from>
      <xdr:col>0</xdr:col>
      <xdr:colOff>0</xdr:colOff>
      <xdr:row>118</xdr:row>
      <xdr:rowOff>0</xdr:rowOff>
    </xdr:from>
    <xdr:ext cx="247650" cy="247650"/>
    <xdr:pic>
      <xdr:nvPicPr>
        <xdr:cNvPr id="97" name="Image 96" descr="Picture">
          <a:extLst>
            <a:ext uri="{FF2B5EF4-FFF2-40B4-BE49-F238E27FC236}">
              <a16:creationId xmlns:a16="http://schemas.microsoft.com/office/drawing/2014/main" id="{00000000-0008-0000-0F00-000061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119</xdr:row>
      <xdr:rowOff>0</xdr:rowOff>
    </xdr:from>
    <xdr:ext cx="247650" cy="247650"/>
    <xdr:pic>
      <xdr:nvPicPr>
        <xdr:cNvPr id="98" name="Image 97" descr="Picture">
          <a:extLst>
            <a:ext uri="{FF2B5EF4-FFF2-40B4-BE49-F238E27FC236}">
              <a16:creationId xmlns:a16="http://schemas.microsoft.com/office/drawing/2014/main" id="{00000000-0008-0000-0F00-000062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120</xdr:row>
      <xdr:rowOff>0</xdr:rowOff>
    </xdr:from>
    <xdr:ext cx="247650" cy="247650"/>
    <xdr:pic>
      <xdr:nvPicPr>
        <xdr:cNvPr id="99" name="Image 98" descr="Picture">
          <a:extLst>
            <a:ext uri="{FF2B5EF4-FFF2-40B4-BE49-F238E27FC236}">
              <a16:creationId xmlns:a16="http://schemas.microsoft.com/office/drawing/2014/main" id="{00000000-0008-0000-0F00-000063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121</xdr:row>
      <xdr:rowOff>0</xdr:rowOff>
    </xdr:from>
    <xdr:ext cx="247650" cy="247650"/>
    <xdr:pic>
      <xdr:nvPicPr>
        <xdr:cNvPr id="100" name="Image 99" descr="Picture">
          <a:extLst>
            <a:ext uri="{FF2B5EF4-FFF2-40B4-BE49-F238E27FC236}">
              <a16:creationId xmlns:a16="http://schemas.microsoft.com/office/drawing/2014/main" id="{00000000-0008-0000-0F00-000064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122</xdr:row>
      <xdr:rowOff>0</xdr:rowOff>
    </xdr:from>
    <xdr:ext cx="247650" cy="247650"/>
    <xdr:pic>
      <xdr:nvPicPr>
        <xdr:cNvPr id="101" name="Image 100" descr="Picture">
          <a:extLst>
            <a:ext uri="{FF2B5EF4-FFF2-40B4-BE49-F238E27FC236}">
              <a16:creationId xmlns:a16="http://schemas.microsoft.com/office/drawing/2014/main" id="{00000000-0008-0000-0F00-000065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123</xdr:row>
      <xdr:rowOff>0</xdr:rowOff>
    </xdr:from>
    <xdr:ext cx="247650" cy="247650"/>
    <xdr:pic>
      <xdr:nvPicPr>
        <xdr:cNvPr id="102" name="Image 101" descr="Picture">
          <a:extLst>
            <a:ext uri="{FF2B5EF4-FFF2-40B4-BE49-F238E27FC236}">
              <a16:creationId xmlns:a16="http://schemas.microsoft.com/office/drawing/2014/main" id="{00000000-0008-0000-0F00-000066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0</xdr:col>
      <xdr:colOff>0</xdr:colOff>
      <xdr:row>125</xdr:row>
      <xdr:rowOff>0</xdr:rowOff>
    </xdr:from>
    <xdr:ext cx="209550" cy="323850"/>
    <xdr:pic>
      <xdr:nvPicPr>
        <xdr:cNvPr id="103" name="Image 102" descr="Picture">
          <a:extLst>
            <a:ext uri="{FF2B5EF4-FFF2-40B4-BE49-F238E27FC236}">
              <a16:creationId xmlns:a16="http://schemas.microsoft.com/office/drawing/2014/main" id="{00000000-0008-0000-0F00-000067000000}"/>
            </a:ext>
          </a:extLst>
        </xdr:cNvPr>
        <xdr:cNvPicPr/>
      </xdr:nvPicPr>
      <xdr:blipFill>
        <a:blip xmlns:r="http://schemas.openxmlformats.org/officeDocument/2006/relationships" r:embed="rId25" cstate="print"/>
        <a:stretch>
          <a:fillRect/>
        </a:stretch>
      </xdr:blipFill>
      <xdr:spPr>
        <a:prstGeom prst="rect">
          <a:avLst/>
        </a:prstGeom>
      </xdr:spPr>
    </xdr:pic>
    <xdr:clientData/>
  </xdr:oneCellAnchor>
  <xdr:oneCellAnchor>
    <xdr:from>
      <xdr:col>0</xdr:col>
      <xdr:colOff>0</xdr:colOff>
      <xdr:row>126</xdr:row>
      <xdr:rowOff>0</xdr:rowOff>
    </xdr:from>
    <xdr:ext cx="209550" cy="323850"/>
    <xdr:pic>
      <xdr:nvPicPr>
        <xdr:cNvPr id="104" name="Image 103" descr="Picture">
          <a:extLst>
            <a:ext uri="{FF2B5EF4-FFF2-40B4-BE49-F238E27FC236}">
              <a16:creationId xmlns:a16="http://schemas.microsoft.com/office/drawing/2014/main" id="{00000000-0008-0000-0F00-000068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127</xdr:row>
      <xdr:rowOff>0</xdr:rowOff>
    </xdr:from>
    <xdr:ext cx="171450" cy="323850"/>
    <xdr:pic>
      <xdr:nvPicPr>
        <xdr:cNvPr id="105" name="Image 104" descr="Picture">
          <a:extLst>
            <a:ext uri="{FF2B5EF4-FFF2-40B4-BE49-F238E27FC236}">
              <a16:creationId xmlns:a16="http://schemas.microsoft.com/office/drawing/2014/main" id="{00000000-0008-0000-0F00-000069000000}"/>
            </a:ext>
          </a:extLst>
        </xdr:cNvPr>
        <xdr:cNvPicPr/>
      </xdr:nvPicPr>
      <xdr:blipFill>
        <a:blip xmlns:r="http://schemas.openxmlformats.org/officeDocument/2006/relationships" r:embed="rId43" cstate="print"/>
        <a:stretch>
          <a:fillRect/>
        </a:stretch>
      </xdr:blipFill>
      <xdr:spPr>
        <a:prstGeom prst="rect">
          <a:avLst/>
        </a:prstGeom>
      </xdr:spPr>
    </xdr:pic>
    <xdr:clientData/>
  </xdr:oneCellAnchor>
  <xdr:oneCellAnchor>
    <xdr:from>
      <xdr:col>0</xdr:col>
      <xdr:colOff>0</xdr:colOff>
      <xdr:row>128</xdr:row>
      <xdr:rowOff>0</xdr:rowOff>
    </xdr:from>
    <xdr:ext cx="200025" cy="323850"/>
    <xdr:pic>
      <xdr:nvPicPr>
        <xdr:cNvPr id="106" name="Image 105" descr="Picture">
          <a:extLst>
            <a:ext uri="{FF2B5EF4-FFF2-40B4-BE49-F238E27FC236}">
              <a16:creationId xmlns:a16="http://schemas.microsoft.com/office/drawing/2014/main" id="{00000000-0008-0000-0F00-00006A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0</xdr:col>
      <xdr:colOff>0</xdr:colOff>
      <xdr:row>129</xdr:row>
      <xdr:rowOff>0</xdr:rowOff>
    </xdr:from>
    <xdr:ext cx="323850" cy="323850"/>
    <xdr:pic>
      <xdr:nvPicPr>
        <xdr:cNvPr id="107" name="Image 106" descr="Picture">
          <a:extLst>
            <a:ext uri="{FF2B5EF4-FFF2-40B4-BE49-F238E27FC236}">
              <a16:creationId xmlns:a16="http://schemas.microsoft.com/office/drawing/2014/main" id="{00000000-0008-0000-0F00-00006B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130</xdr:row>
      <xdr:rowOff>0</xdr:rowOff>
    </xdr:from>
    <xdr:ext cx="304800" cy="323850"/>
    <xdr:pic>
      <xdr:nvPicPr>
        <xdr:cNvPr id="108" name="Image 107" descr="Picture">
          <a:extLst>
            <a:ext uri="{FF2B5EF4-FFF2-40B4-BE49-F238E27FC236}">
              <a16:creationId xmlns:a16="http://schemas.microsoft.com/office/drawing/2014/main" id="{00000000-0008-0000-0F00-00006C000000}"/>
            </a:ext>
          </a:extLst>
        </xdr:cNvPr>
        <xdr:cNvPicPr/>
      </xdr:nvPicPr>
      <xdr:blipFill>
        <a:blip xmlns:r="http://schemas.openxmlformats.org/officeDocument/2006/relationships" r:embed="rId38" cstate="print"/>
        <a:stretch>
          <a:fillRect/>
        </a:stretch>
      </xdr:blipFill>
      <xdr:spPr>
        <a:prstGeom prst="rect">
          <a:avLst/>
        </a:prstGeom>
      </xdr:spPr>
    </xdr:pic>
    <xdr:clientData/>
  </xdr:oneCellAnchor>
  <xdr:oneCellAnchor>
    <xdr:from>
      <xdr:col>0</xdr:col>
      <xdr:colOff>0</xdr:colOff>
      <xdr:row>131</xdr:row>
      <xdr:rowOff>0</xdr:rowOff>
    </xdr:from>
    <xdr:ext cx="304800" cy="323850"/>
    <xdr:pic>
      <xdr:nvPicPr>
        <xdr:cNvPr id="109" name="Image 108" descr="Picture">
          <a:extLst>
            <a:ext uri="{FF2B5EF4-FFF2-40B4-BE49-F238E27FC236}">
              <a16:creationId xmlns:a16="http://schemas.microsoft.com/office/drawing/2014/main" id="{00000000-0008-0000-0F00-00006D000000}"/>
            </a:ext>
          </a:extLst>
        </xdr:cNvPr>
        <xdr:cNvPicPr/>
      </xdr:nvPicPr>
      <xdr:blipFill>
        <a:blip xmlns:r="http://schemas.openxmlformats.org/officeDocument/2006/relationships" r:embed="rId44" cstate="print"/>
        <a:stretch>
          <a:fillRect/>
        </a:stretch>
      </xdr:blipFill>
      <xdr:spPr>
        <a:prstGeom prst="rect">
          <a:avLst/>
        </a:prstGeom>
      </xdr:spPr>
    </xdr:pic>
    <xdr:clientData/>
  </xdr:oneCellAnchor>
  <xdr:oneCellAnchor>
    <xdr:from>
      <xdr:col>0</xdr:col>
      <xdr:colOff>0</xdr:colOff>
      <xdr:row>132</xdr:row>
      <xdr:rowOff>0</xdr:rowOff>
    </xdr:from>
    <xdr:ext cx="323850" cy="323850"/>
    <xdr:pic>
      <xdr:nvPicPr>
        <xdr:cNvPr id="110" name="Image 109" descr="Picture">
          <a:extLst>
            <a:ext uri="{FF2B5EF4-FFF2-40B4-BE49-F238E27FC236}">
              <a16:creationId xmlns:a16="http://schemas.microsoft.com/office/drawing/2014/main" id="{00000000-0008-0000-0F00-00006E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133</xdr:row>
      <xdr:rowOff>0</xdr:rowOff>
    </xdr:from>
    <xdr:ext cx="323850" cy="323850"/>
    <xdr:pic>
      <xdr:nvPicPr>
        <xdr:cNvPr id="111" name="Image 110" descr="Picture">
          <a:extLst>
            <a:ext uri="{FF2B5EF4-FFF2-40B4-BE49-F238E27FC236}">
              <a16:creationId xmlns:a16="http://schemas.microsoft.com/office/drawing/2014/main" id="{00000000-0008-0000-0F00-00006F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134</xdr:row>
      <xdr:rowOff>0</xdr:rowOff>
    </xdr:from>
    <xdr:ext cx="323850" cy="190500"/>
    <xdr:pic>
      <xdr:nvPicPr>
        <xdr:cNvPr id="112" name="Image 111" descr="Picture">
          <a:extLst>
            <a:ext uri="{FF2B5EF4-FFF2-40B4-BE49-F238E27FC236}">
              <a16:creationId xmlns:a16="http://schemas.microsoft.com/office/drawing/2014/main" id="{00000000-0008-0000-0F00-000070000000}"/>
            </a:ext>
          </a:extLst>
        </xdr:cNvPr>
        <xdr:cNvPicPr/>
      </xdr:nvPicPr>
      <xdr:blipFill>
        <a:blip xmlns:r="http://schemas.openxmlformats.org/officeDocument/2006/relationships" r:embed="rId45" cstate="print"/>
        <a:stretch>
          <a:fillRect/>
        </a:stretch>
      </xdr:blipFill>
      <xdr:spPr>
        <a:prstGeom prst="rect">
          <a:avLst/>
        </a:prstGeom>
      </xdr:spPr>
    </xdr:pic>
    <xdr:clientData/>
  </xdr:oneCellAnchor>
  <xdr:oneCellAnchor>
    <xdr:from>
      <xdr:col>0</xdr:col>
      <xdr:colOff>0</xdr:colOff>
      <xdr:row>135</xdr:row>
      <xdr:rowOff>0</xdr:rowOff>
    </xdr:from>
    <xdr:ext cx="323850" cy="323850"/>
    <xdr:pic>
      <xdr:nvPicPr>
        <xdr:cNvPr id="113" name="Image 112" descr="Picture">
          <a:extLst>
            <a:ext uri="{FF2B5EF4-FFF2-40B4-BE49-F238E27FC236}">
              <a16:creationId xmlns:a16="http://schemas.microsoft.com/office/drawing/2014/main" id="{00000000-0008-0000-0F00-000071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136</xdr:row>
      <xdr:rowOff>0</xdr:rowOff>
    </xdr:from>
    <xdr:ext cx="323850" cy="323850"/>
    <xdr:pic>
      <xdr:nvPicPr>
        <xdr:cNvPr id="114" name="Image 113" descr="Picture">
          <a:extLst>
            <a:ext uri="{FF2B5EF4-FFF2-40B4-BE49-F238E27FC236}">
              <a16:creationId xmlns:a16="http://schemas.microsoft.com/office/drawing/2014/main" id="{00000000-0008-0000-0F00-000072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138</xdr:row>
      <xdr:rowOff>0</xdr:rowOff>
    </xdr:from>
    <xdr:ext cx="161925" cy="323850"/>
    <xdr:pic>
      <xdr:nvPicPr>
        <xdr:cNvPr id="115" name="Image 114" descr="Picture">
          <a:extLst>
            <a:ext uri="{FF2B5EF4-FFF2-40B4-BE49-F238E27FC236}">
              <a16:creationId xmlns:a16="http://schemas.microsoft.com/office/drawing/2014/main" id="{00000000-0008-0000-0F00-000073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139</xdr:row>
      <xdr:rowOff>0</xdr:rowOff>
    </xdr:from>
    <xdr:ext cx="209550" cy="323850"/>
    <xdr:pic>
      <xdr:nvPicPr>
        <xdr:cNvPr id="116" name="Image 115" descr="Picture">
          <a:extLst>
            <a:ext uri="{FF2B5EF4-FFF2-40B4-BE49-F238E27FC236}">
              <a16:creationId xmlns:a16="http://schemas.microsoft.com/office/drawing/2014/main" id="{00000000-0008-0000-0F00-000074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140</xdr:row>
      <xdr:rowOff>0</xdr:rowOff>
    </xdr:from>
    <xdr:ext cx="323850" cy="323850"/>
    <xdr:pic>
      <xdr:nvPicPr>
        <xdr:cNvPr id="117" name="Image 116" descr="Picture">
          <a:extLst>
            <a:ext uri="{FF2B5EF4-FFF2-40B4-BE49-F238E27FC236}">
              <a16:creationId xmlns:a16="http://schemas.microsoft.com/office/drawing/2014/main" id="{00000000-0008-0000-0F00-000075000000}"/>
            </a:ext>
          </a:extLst>
        </xdr:cNvPr>
        <xdr:cNvPicPr/>
      </xdr:nvPicPr>
      <xdr:blipFill>
        <a:blip xmlns:r="http://schemas.openxmlformats.org/officeDocument/2006/relationships" r:embed="rId34" cstate="print"/>
        <a:stretch>
          <a:fillRect/>
        </a:stretch>
      </xdr:blipFill>
      <xdr:spPr>
        <a:prstGeom prst="rect">
          <a:avLst/>
        </a:prstGeom>
      </xdr:spPr>
    </xdr:pic>
    <xdr:clientData/>
  </xdr:oneCellAnchor>
  <xdr:oneCellAnchor>
    <xdr:from>
      <xdr:col>0</xdr:col>
      <xdr:colOff>0</xdr:colOff>
      <xdr:row>141</xdr:row>
      <xdr:rowOff>0</xdr:rowOff>
    </xdr:from>
    <xdr:ext cx="200025" cy="323850"/>
    <xdr:pic>
      <xdr:nvPicPr>
        <xdr:cNvPr id="118" name="Image 117" descr="Picture">
          <a:extLst>
            <a:ext uri="{FF2B5EF4-FFF2-40B4-BE49-F238E27FC236}">
              <a16:creationId xmlns:a16="http://schemas.microsoft.com/office/drawing/2014/main" id="{00000000-0008-0000-0F00-000076000000}"/>
            </a:ext>
          </a:extLst>
        </xdr:cNvPr>
        <xdr:cNvPicPr/>
      </xdr:nvPicPr>
      <xdr:blipFill>
        <a:blip xmlns:r="http://schemas.openxmlformats.org/officeDocument/2006/relationships" r:embed="rId35" cstate="print"/>
        <a:stretch>
          <a:fillRect/>
        </a:stretch>
      </xdr:blipFill>
      <xdr:spPr>
        <a:prstGeom prst="rect">
          <a:avLst/>
        </a:prstGeom>
      </xdr:spPr>
    </xdr:pic>
    <xdr:clientData/>
  </xdr:oneCellAnchor>
  <xdr:oneCellAnchor>
    <xdr:from>
      <xdr:col>0</xdr:col>
      <xdr:colOff>0</xdr:colOff>
      <xdr:row>142</xdr:row>
      <xdr:rowOff>0</xdr:rowOff>
    </xdr:from>
    <xdr:ext cx="323850" cy="314325"/>
    <xdr:pic>
      <xdr:nvPicPr>
        <xdr:cNvPr id="119" name="Image 118" descr="Picture">
          <a:extLst>
            <a:ext uri="{FF2B5EF4-FFF2-40B4-BE49-F238E27FC236}">
              <a16:creationId xmlns:a16="http://schemas.microsoft.com/office/drawing/2014/main" id="{00000000-0008-0000-0F00-000077000000}"/>
            </a:ext>
          </a:extLst>
        </xdr:cNvPr>
        <xdr:cNvPicPr/>
      </xdr:nvPicPr>
      <xdr:blipFill>
        <a:blip xmlns:r="http://schemas.openxmlformats.org/officeDocument/2006/relationships" r:embed="rId36" cstate="print"/>
        <a:stretch>
          <a:fillRect/>
        </a:stretch>
      </xdr:blipFill>
      <xdr:spPr>
        <a:prstGeom prst="rect">
          <a:avLst/>
        </a:prstGeom>
      </xdr:spPr>
    </xdr:pic>
    <xdr:clientData/>
  </xdr:oneCellAnchor>
  <xdr:oneCellAnchor>
    <xdr:from>
      <xdr:col>0</xdr:col>
      <xdr:colOff>0</xdr:colOff>
      <xdr:row>143</xdr:row>
      <xdr:rowOff>0</xdr:rowOff>
    </xdr:from>
    <xdr:ext cx="304800" cy="323850"/>
    <xdr:pic>
      <xdr:nvPicPr>
        <xdr:cNvPr id="120" name="Image 119" descr="Picture">
          <a:extLst>
            <a:ext uri="{FF2B5EF4-FFF2-40B4-BE49-F238E27FC236}">
              <a16:creationId xmlns:a16="http://schemas.microsoft.com/office/drawing/2014/main" id="{00000000-0008-0000-0F00-000078000000}"/>
            </a:ext>
          </a:extLst>
        </xdr:cNvPr>
        <xdr:cNvPicPr/>
      </xdr:nvPicPr>
      <xdr:blipFill>
        <a:blip xmlns:r="http://schemas.openxmlformats.org/officeDocument/2006/relationships" r:embed="rId38" cstate="print"/>
        <a:stretch>
          <a:fillRect/>
        </a:stretch>
      </xdr:blipFill>
      <xdr:spPr>
        <a:prstGeom prst="rect">
          <a:avLst/>
        </a:prstGeom>
      </xdr:spPr>
    </xdr:pic>
    <xdr:clientData/>
  </xdr:oneCellAnchor>
  <xdr:oneCellAnchor>
    <xdr:from>
      <xdr:col>0</xdr:col>
      <xdr:colOff>0</xdr:colOff>
      <xdr:row>144</xdr:row>
      <xdr:rowOff>0</xdr:rowOff>
    </xdr:from>
    <xdr:ext cx="304800" cy="323850"/>
    <xdr:pic>
      <xdr:nvPicPr>
        <xdr:cNvPr id="121" name="Image 120" descr="Picture">
          <a:extLst>
            <a:ext uri="{FF2B5EF4-FFF2-40B4-BE49-F238E27FC236}">
              <a16:creationId xmlns:a16="http://schemas.microsoft.com/office/drawing/2014/main" id="{00000000-0008-0000-0F00-000079000000}"/>
            </a:ext>
          </a:extLst>
        </xdr:cNvPr>
        <xdr:cNvPicPr/>
      </xdr:nvPicPr>
      <xdr:blipFill>
        <a:blip xmlns:r="http://schemas.openxmlformats.org/officeDocument/2006/relationships" r:embed="rId44" cstate="print"/>
        <a:stretch>
          <a:fillRect/>
        </a:stretch>
      </xdr:blipFill>
      <xdr:spPr>
        <a:prstGeom prst="rect">
          <a:avLst/>
        </a:prstGeom>
      </xdr:spPr>
    </xdr:pic>
    <xdr:clientData/>
  </xdr:oneCellAnchor>
  <xdr:oneCellAnchor>
    <xdr:from>
      <xdr:col>0</xdr:col>
      <xdr:colOff>0</xdr:colOff>
      <xdr:row>145</xdr:row>
      <xdr:rowOff>0</xdr:rowOff>
    </xdr:from>
    <xdr:ext cx="323850" cy="323850"/>
    <xdr:pic>
      <xdr:nvPicPr>
        <xdr:cNvPr id="122" name="Image 121" descr="Picture">
          <a:extLst>
            <a:ext uri="{FF2B5EF4-FFF2-40B4-BE49-F238E27FC236}">
              <a16:creationId xmlns:a16="http://schemas.microsoft.com/office/drawing/2014/main" id="{00000000-0008-0000-0F00-00007A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146</xdr:row>
      <xdr:rowOff>0</xdr:rowOff>
    </xdr:from>
    <xdr:ext cx="323850" cy="323850"/>
    <xdr:pic>
      <xdr:nvPicPr>
        <xdr:cNvPr id="123" name="Image 122" descr="Picture">
          <a:extLst>
            <a:ext uri="{FF2B5EF4-FFF2-40B4-BE49-F238E27FC236}">
              <a16:creationId xmlns:a16="http://schemas.microsoft.com/office/drawing/2014/main" id="{00000000-0008-0000-0F00-00007B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147</xdr:row>
      <xdr:rowOff>0</xdr:rowOff>
    </xdr:from>
    <xdr:ext cx="323850" cy="171450"/>
    <xdr:pic>
      <xdr:nvPicPr>
        <xdr:cNvPr id="124" name="Image 123" descr="Picture">
          <a:extLst>
            <a:ext uri="{FF2B5EF4-FFF2-40B4-BE49-F238E27FC236}">
              <a16:creationId xmlns:a16="http://schemas.microsoft.com/office/drawing/2014/main" id="{00000000-0008-0000-0F00-00007C000000}"/>
            </a:ext>
          </a:extLst>
        </xdr:cNvPr>
        <xdr:cNvPicPr/>
      </xdr:nvPicPr>
      <xdr:blipFill>
        <a:blip xmlns:r="http://schemas.openxmlformats.org/officeDocument/2006/relationships" r:embed="rId31" cstate="print"/>
        <a:stretch>
          <a:fillRect/>
        </a:stretch>
      </xdr:blipFill>
      <xdr:spPr>
        <a:prstGeom prst="rect">
          <a:avLst/>
        </a:prstGeom>
      </xdr:spPr>
    </xdr:pic>
    <xdr:clientData/>
  </xdr:oneCellAnchor>
  <xdr:oneCellAnchor>
    <xdr:from>
      <xdr:col>0</xdr:col>
      <xdr:colOff>0</xdr:colOff>
      <xdr:row>148</xdr:row>
      <xdr:rowOff>0</xdr:rowOff>
    </xdr:from>
    <xdr:ext cx="323850" cy="323850"/>
    <xdr:pic>
      <xdr:nvPicPr>
        <xdr:cNvPr id="125" name="Image 124" descr="Picture">
          <a:extLst>
            <a:ext uri="{FF2B5EF4-FFF2-40B4-BE49-F238E27FC236}">
              <a16:creationId xmlns:a16="http://schemas.microsoft.com/office/drawing/2014/main" id="{00000000-0008-0000-0F00-00007D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149</xdr:row>
      <xdr:rowOff>0</xdr:rowOff>
    </xdr:from>
    <xdr:ext cx="323850" cy="323850"/>
    <xdr:pic>
      <xdr:nvPicPr>
        <xdr:cNvPr id="126" name="Image 125" descr="Picture">
          <a:extLst>
            <a:ext uri="{FF2B5EF4-FFF2-40B4-BE49-F238E27FC236}">
              <a16:creationId xmlns:a16="http://schemas.microsoft.com/office/drawing/2014/main" id="{00000000-0008-0000-0F00-00007E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153</xdr:row>
      <xdr:rowOff>0</xdr:rowOff>
    </xdr:from>
    <xdr:ext cx="247650" cy="247650"/>
    <xdr:pic>
      <xdr:nvPicPr>
        <xdr:cNvPr id="127" name="Image 126" descr="Picture">
          <a:extLst>
            <a:ext uri="{FF2B5EF4-FFF2-40B4-BE49-F238E27FC236}">
              <a16:creationId xmlns:a16="http://schemas.microsoft.com/office/drawing/2014/main" id="{00000000-0008-0000-0F00-00007F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154</xdr:row>
      <xdr:rowOff>0</xdr:rowOff>
    </xdr:from>
    <xdr:ext cx="247650" cy="247650"/>
    <xdr:pic>
      <xdr:nvPicPr>
        <xdr:cNvPr id="128" name="Image 127" descr="Picture">
          <a:extLst>
            <a:ext uri="{FF2B5EF4-FFF2-40B4-BE49-F238E27FC236}">
              <a16:creationId xmlns:a16="http://schemas.microsoft.com/office/drawing/2014/main" id="{00000000-0008-0000-0F00-000080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155</xdr:row>
      <xdr:rowOff>0</xdr:rowOff>
    </xdr:from>
    <xdr:ext cx="247650" cy="247650"/>
    <xdr:pic>
      <xdr:nvPicPr>
        <xdr:cNvPr id="129" name="Image 128" descr="Picture">
          <a:extLst>
            <a:ext uri="{FF2B5EF4-FFF2-40B4-BE49-F238E27FC236}">
              <a16:creationId xmlns:a16="http://schemas.microsoft.com/office/drawing/2014/main" id="{00000000-0008-0000-0F00-000081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156</xdr:row>
      <xdr:rowOff>0</xdr:rowOff>
    </xdr:from>
    <xdr:ext cx="247650" cy="247650"/>
    <xdr:pic>
      <xdr:nvPicPr>
        <xdr:cNvPr id="130" name="Image 129" descr="Picture">
          <a:extLst>
            <a:ext uri="{FF2B5EF4-FFF2-40B4-BE49-F238E27FC236}">
              <a16:creationId xmlns:a16="http://schemas.microsoft.com/office/drawing/2014/main" id="{00000000-0008-0000-0F00-000082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157</xdr:row>
      <xdr:rowOff>0</xdr:rowOff>
    </xdr:from>
    <xdr:ext cx="247650" cy="247650"/>
    <xdr:pic>
      <xdr:nvPicPr>
        <xdr:cNvPr id="131" name="Image 130" descr="Picture">
          <a:extLst>
            <a:ext uri="{FF2B5EF4-FFF2-40B4-BE49-F238E27FC236}">
              <a16:creationId xmlns:a16="http://schemas.microsoft.com/office/drawing/2014/main" id="{00000000-0008-0000-0F00-000083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158</xdr:row>
      <xdr:rowOff>0</xdr:rowOff>
    </xdr:from>
    <xdr:ext cx="247650" cy="247650"/>
    <xdr:pic>
      <xdr:nvPicPr>
        <xdr:cNvPr id="132" name="Image 131" descr="Picture">
          <a:extLst>
            <a:ext uri="{FF2B5EF4-FFF2-40B4-BE49-F238E27FC236}">
              <a16:creationId xmlns:a16="http://schemas.microsoft.com/office/drawing/2014/main" id="{00000000-0008-0000-0F00-000084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0</xdr:col>
      <xdr:colOff>0</xdr:colOff>
      <xdr:row>159</xdr:row>
      <xdr:rowOff>0</xdr:rowOff>
    </xdr:from>
    <xdr:ext cx="247650" cy="247650"/>
    <xdr:pic>
      <xdr:nvPicPr>
        <xdr:cNvPr id="133" name="Image 132" descr="Picture">
          <a:extLst>
            <a:ext uri="{FF2B5EF4-FFF2-40B4-BE49-F238E27FC236}">
              <a16:creationId xmlns:a16="http://schemas.microsoft.com/office/drawing/2014/main" id="{00000000-0008-0000-0F00-000085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160</xdr:row>
      <xdr:rowOff>0</xdr:rowOff>
    </xdr:from>
    <xdr:ext cx="247650" cy="247650"/>
    <xdr:pic>
      <xdr:nvPicPr>
        <xdr:cNvPr id="134" name="Image 133" descr="Picture">
          <a:extLst>
            <a:ext uri="{FF2B5EF4-FFF2-40B4-BE49-F238E27FC236}">
              <a16:creationId xmlns:a16="http://schemas.microsoft.com/office/drawing/2014/main" id="{00000000-0008-0000-0F00-000086000000}"/>
            </a:ext>
          </a:extLst>
        </xdr:cNvPr>
        <xdr:cNvPicPr/>
      </xdr:nvPicPr>
      <xdr:blipFill>
        <a:blip xmlns:r="http://schemas.openxmlformats.org/officeDocument/2006/relationships" r:embed="rId42" cstate="print"/>
        <a:stretch>
          <a:fillRect/>
        </a:stretch>
      </xdr:blipFill>
      <xdr:spPr>
        <a:prstGeom prst="rect">
          <a:avLst/>
        </a:prstGeom>
      </xdr:spPr>
    </xdr:pic>
    <xdr:clientData/>
  </xdr:oneCellAnchor>
  <xdr:oneCellAnchor>
    <xdr:from>
      <xdr:col>0</xdr:col>
      <xdr:colOff>0</xdr:colOff>
      <xdr:row>161</xdr:row>
      <xdr:rowOff>0</xdr:rowOff>
    </xdr:from>
    <xdr:ext cx="247650" cy="247650"/>
    <xdr:pic>
      <xdr:nvPicPr>
        <xdr:cNvPr id="135" name="Image 134" descr="Picture">
          <a:extLst>
            <a:ext uri="{FF2B5EF4-FFF2-40B4-BE49-F238E27FC236}">
              <a16:creationId xmlns:a16="http://schemas.microsoft.com/office/drawing/2014/main" id="{00000000-0008-0000-0F00-000087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162</xdr:row>
      <xdr:rowOff>0</xdr:rowOff>
    </xdr:from>
    <xdr:ext cx="247650" cy="247650"/>
    <xdr:pic>
      <xdr:nvPicPr>
        <xdr:cNvPr id="136" name="Image 135" descr="Picture">
          <a:extLst>
            <a:ext uri="{FF2B5EF4-FFF2-40B4-BE49-F238E27FC236}">
              <a16:creationId xmlns:a16="http://schemas.microsoft.com/office/drawing/2014/main" id="{00000000-0008-0000-0F00-000088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163</xdr:row>
      <xdr:rowOff>0</xdr:rowOff>
    </xdr:from>
    <xdr:ext cx="247650" cy="247650"/>
    <xdr:pic>
      <xdr:nvPicPr>
        <xdr:cNvPr id="137" name="Image 136" descr="Picture">
          <a:extLst>
            <a:ext uri="{FF2B5EF4-FFF2-40B4-BE49-F238E27FC236}">
              <a16:creationId xmlns:a16="http://schemas.microsoft.com/office/drawing/2014/main" id="{00000000-0008-0000-0F00-000089000000}"/>
            </a:ext>
          </a:extLst>
        </xdr:cNvPr>
        <xdr:cNvPicPr/>
      </xdr:nvPicPr>
      <xdr:blipFill>
        <a:blip xmlns:r="http://schemas.openxmlformats.org/officeDocument/2006/relationships" r:embed="rId46" cstate="print"/>
        <a:stretch>
          <a:fillRect/>
        </a:stretch>
      </xdr:blipFill>
      <xdr:spPr>
        <a:prstGeom prst="rect">
          <a:avLst/>
        </a:prstGeom>
      </xdr:spPr>
    </xdr:pic>
    <xdr:clientData/>
  </xdr:oneCellAnchor>
  <xdr:oneCellAnchor>
    <xdr:from>
      <xdr:col>0</xdr:col>
      <xdr:colOff>0</xdr:colOff>
      <xdr:row>164</xdr:row>
      <xdr:rowOff>0</xdr:rowOff>
    </xdr:from>
    <xdr:ext cx="247650" cy="247650"/>
    <xdr:pic>
      <xdr:nvPicPr>
        <xdr:cNvPr id="138" name="Image 137" descr="Picture">
          <a:extLst>
            <a:ext uri="{FF2B5EF4-FFF2-40B4-BE49-F238E27FC236}">
              <a16:creationId xmlns:a16="http://schemas.microsoft.com/office/drawing/2014/main" id="{00000000-0008-0000-0F00-00008A000000}"/>
            </a:ext>
          </a:extLst>
        </xdr:cNvPr>
        <xdr:cNvPicPr/>
      </xdr:nvPicPr>
      <xdr:blipFill>
        <a:blip xmlns:r="http://schemas.openxmlformats.org/officeDocument/2006/relationships" r:embed="rId47" cstate="print"/>
        <a:stretch>
          <a:fillRect/>
        </a:stretch>
      </xdr:blipFill>
      <xdr:spPr>
        <a:prstGeom prst="rect">
          <a:avLst/>
        </a:prstGeom>
      </xdr:spPr>
    </xdr:pic>
    <xdr:clientData/>
  </xdr:oneCellAnchor>
  <xdr:oneCellAnchor>
    <xdr:from>
      <xdr:col>0</xdr:col>
      <xdr:colOff>0</xdr:colOff>
      <xdr:row>165</xdr:row>
      <xdr:rowOff>0</xdr:rowOff>
    </xdr:from>
    <xdr:ext cx="247650" cy="247650"/>
    <xdr:pic>
      <xdr:nvPicPr>
        <xdr:cNvPr id="139" name="Image 138" descr="Picture">
          <a:extLst>
            <a:ext uri="{FF2B5EF4-FFF2-40B4-BE49-F238E27FC236}">
              <a16:creationId xmlns:a16="http://schemas.microsoft.com/office/drawing/2014/main" id="{00000000-0008-0000-0F00-00008B000000}"/>
            </a:ext>
          </a:extLst>
        </xdr:cNvPr>
        <xdr:cNvPicPr/>
      </xdr:nvPicPr>
      <xdr:blipFill>
        <a:blip xmlns:r="http://schemas.openxmlformats.org/officeDocument/2006/relationships" r:embed="rId48" cstate="print"/>
        <a:stretch>
          <a:fillRect/>
        </a:stretch>
      </xdr:blipFill>
      <xdr:spPr>
        <a:prstGeom prst="rect">
          <a:avLst/>
        </a:prstGeom>
      </xdr:spPr>
    </xdr:pic>
    <xdr:clientData/>
  </xdr:oneCellAnchor>
  <xdr:oneCellAnchor>
    <xdr:from>
      <xdr:col>0</xdr:col>
      <xdr:colOff>0</xdr:colOff>
      <xdr:row>166</xdr:row>
      <xdr:rowOff>0</xdr:rowOff>
    </xdr:from>
    <xdr:ext cx="247650" cy="247650"/>
    <xdr:pic>
      <xdr:nvPicPr>
        <xdr:cNvPr id="140" name="Image 139" descr="Picture">
          <a:extLst>
            <a:ext uri="{FF2B5EF4-FFF2-40B4-BE49-F238E27FC236}">
              <a16:creationId xmlns:a16="http://schemas.microsoft.com/office/drawing/2014/main" id="{00000000-0008-0000-0F00-00008C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167</xdr:row>
      <xdr:rowOff>0</xdr:rowOff>
    </xdr:from>
    <xdr:ext cx="247650" cy="247650"/>
    <xdr:pic>
      <xdr:nvPicPr>
        <xdr:cNvPr id="141" name="Image 140" descr="Picture">
          <a:extLst>
            <a:ext uri="{FF2B5EF4-FFF2-40B4-BE49-F238E27FC236}">
              <a16:creationId xmlns:a16="http://schemas.microsoft.com/office/drawing/2014/main" id="{00000000-0008-0000-0F00-00008D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168</xdr:row>
      <xdr:rowOff>0</xdr:rowOff>
    </xdr:from>
    <xdr:ext cx="247650" cy="247650"/>
    <xdr:pic>
      <xdr:nvPicPr>
        <xdr:cNvPr id="142" name="Image 141" descr="Picture">
          <a:extLst>
            <a:ext uri="{FF2B5EF4-FFF2-40B4-BE49-F238E27FC236}">
              <a16:creationId xmlns:a16="http://schemas.microsoft.com/office/drawing/2014/main" id="{00000000-0008-0000-0F00-00008E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169</xdr:row>
      <xdr:rowOff>0</xdr:rowOff>
    </xdr:from>
    <xdr:ext cx="247650" cy="247650"/>
    <xdr:pic>
      <xdr:nvPicPr>
        <xdr:cNvPr id="143" name="Image 142" descr="Picture">
          <a:extLst>
            <a:ext uri="{FF2B5EF4-FFF2-40B4-BE49-F238E27FC236}">
              <a16:creationId xmlns:a16="http://schemas.microsoft.com/office/drawing/2014/main" id="{00000000-0008-0000-0F00-00008F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170</xdr:row>
      <xdr:rowOff>0</xdr:rowOff>
    </xdr:from>
    <xdr:ext cx="247650" cy="247650"/>
    <xdr:pic>
      <xdr:nvPicPr>
        <xdr:cNvPr id="144" name="Image 143" descr="Picture">
          <a:extLst>
            <a:ext uri="{FF2B5EF4-FFF2-40B4-BE49-F238E27FC236}">
              <a16:creationId xmlns:a16="http://schemas.microsoft.com/office/drawing/2014/main" id="{00000000-0008-0000-0F00-000090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0</xdr:col>
      <xdr:colOff>0</xdr:colOff>
      <xdr:row>172</xdr:row>
      <xdr:rowOff>0</xdr:rowOff>
    </xdr:from>
    <xdr:ext cx="209550" cy="323850"/>
    <xdr:pic>
      <xdr:nvPicPr>
        <xdr:cNvPr id="145" name="Image 144" descr="Picture">
          <a:extLst>
            <a:ext uri="{FF2B5EF4-FFF2-40B4-BE49-F238E27FC236}">
              <a16:creationId xmlns:a16="http://schemas.microsoft.com/office/drawing/2014/main" id="{00000000-0008-0000-0F00-000091000000}"/>
            </a:ext>
          </a:extLst>
        </xdr:cNvPr>
        <xdr:cNvPicPr/>
      </xdr:nvPicPr>
      <xdr:blipFill>
        <a:blip xmlns:r="http://schemas.openxmlformats.org/officeDocument/2006/relationships" r:embed="rId25" cstate="print"/>
        <a:stretch>
          <a:fillRect/>
        </a:stretch>
      </xdr:blipFill>
      <xdr:spPr>
        <a:prstGeom prst="rect">
          <a:avLst/>
        </a:prstGeom>
      </xdr:spPr>
    </xdr:pic>
    <xdr:clientData/>
  </xdr:oneCellAnchor>
  <xdr:oneCellAnchor>
    <xdr:from>
      <xdr:col>0</xdr:col>
      <xdr:colOff>0</xdr:colOff>
      <xdr:row>173</xdr:row>
      <xdr:rowOff>0</xdr:rowOff>
    </xdr:from>
    <xdr:ext cx="209550" cy="323850"/>
    <xdr:pic>
      <xdr:nvPicPr>
        <xdr:cNvPr id="146" name="Image 145" descr="Picture">
          <a:extLst>
            <a:ext uri="{FF2B5EF4-FFF2-40B4-BE49-F238E27FC236}">
              <a16:creationId xmlns:a16="http://schemas.microsoft.com/office/drawing/2014/main" id="{00000000-0008-0000-0F00-000092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174</xdr:row>
      <xdr:rowOff>0</xdr:rowOff>
    </xdr:from>
    <xdr:ext cx="171450" cy="323850"/>
    <xdr:pic>
      <xdr:nvPicPr>
        <xdr:cNvPr id="147" name="Image 146" descr="Picture">
          <a:extLst>
            <a:ext uri="{FF2B5EF4-FFF2-40B4-BE49-F238E27FC236}">
              <a16:creationId xmlns:a16="http://schemas.microsoft.com/office/drawing/2014/main" id="{00000000-0008-0000-0F00-000093000000}"/>
            </a:ext>
          </a:extLst>
        </xdr:cNvPr>
        <xdr:cNvPicPr/>
      </xdr:nvPicPr>
      <xdr:blipFill>
        <a:blip xmlns:r="http://schemas.openxmlformats.org/officeDocument/2006/relationships" r:embed="rId43" cstate="print"/>
        <a:stretch>
          <a:fillRect/>
        </a:stretch>
      </xdr:blipFill>
      <xdr:spPr>
        <a:prstGeom prst="rect">
          <a:avLst/>
        </a:prstGeom>
      </xdr:spPr>
    </xdr:pic>
    <xdr:clientData/>
  </xdr:oneCellAnchor>
  <xdr:oneCellAnchor>
    <xdr:from>
      <xdr:col>0</xdr:col>
      <xdr:colOff>0</xdr:colOff>
      <xdr:row>175</xdr:row>
      <xdr:rowOff>0</xdr:rowOff>
    </xdr:from>
    <xdr:ext cx="228600" cy="323850"/>
    <xdr:pic>
      <xdr:nvPicPr>
        <xdr:cNvPr id="148" name="Image 147" descr="Picture">
          <a:extLst>
            <a:ext uri="{FF2B5EF4-FFF2-40B4-BE49-F238E27FC236}">
              <a16:creationId xmlns:a16="http://schemas.microsoft.com/office/drawing/2014/main" id="{00000000-0008-0000-0F00-000094000000}"/>
            </a:ext>
          </a:extLst>
        </xdr:cNvPr>
        <xdr:cNvPicPr/>
      </xdr:nvPicPr>
      <xdr:blipFill>
        <a:blip xmlns:r="http://schemas.openxmlformats.org/officeDocument/2006/relationships" r:embed="rId49" cstate="print"/>
        <a:stretch>
          <a:fillRect/>
        </a:stretch>
      </xdr:blipFill>
      <xdr:spPr>
        <a:prstGeom prst="rect">
          <a:avLst/>
        </a:prstGeom>
      </xdr:spPr>
    </xdr:pic>
    <xdr:clientData/>
  </xdr:oneCellAnchor>
  <xdr:oneCellAnchor>
    <xdr:from>
      <xdr:col>0</xdr:col>
      <xdr:colOff>0</xdr:colOff>
      <xdr:row>176</xdr:row>
      <xdr:rowOff>0</xdr:rowOff>
    </xdr:from>
    <xdr:ext cx="323850" cy="314325"/>
    <xdr:pic>
      <xdr:nvPicPr>
        <xdr:cNvPr id="149" name="Image 148" descr="Picture">
          <a:extLst>
            <a:ext uri="{FF2B5EF4-FFF2-40B4-BE49-F238E27FC236}">
              <a16:creationId xmlns:a16="http://schemas.microsoft.com/office/drawing/2014/main" id="{00000000-0008-0000-0F00-000095000000}"/>
            </a:ext>
          </a:extLst>
        </xdr:cNvPr>
        <xdr:cNvPicPr/>
      </xdr:nvPicPr>
      <xdr:blipFill>
        <a:blip xmlns:r="http://schemas.openxmlformats.org/officeDocument/2006/relationships" r:embed="rId50" cstate="print"/>
        <a:stretch>
          <a:fillRect/>
        </a:stretch>
      </xdr:blipFill>
      <xdr:spPr>
        <a:prstGeom prst="rect">
          <a:avLst/>
        </a:prstGeom>
      </xdr:spPr>
    </xdr:pic>
    <xdr:clientData/>
  </xdr:oneCellAnchor>
  <xdr:oneCellAnchor>
    <xdr:from>
      <xdr:col>0</xdr:col>
      <xdr:colOff>0</xdr:colOff>
      <xdr:row>177</xdr:row>
      <xdr:rowOff>0</xdr:rowOff>
    </xdr:from>
    <xdr:ext cx="257175" cy="323850"/>
    <xdr:pic>
      <xdr:nvPicPr>
        <xdr:cNvPr id="150" name="Image 149" descr="Picture">
          <a:extLst>
            <a:ext uri="{FF2B5EF4-FFF2-40B4-BE49-F238E27FC236}">
              <a16:creationId xmlns:a16="http://schemas.microsoft.com/office/drawing/2014/main" id="{00000000-0008-0000-0F00-000096000000}"/>
            </a:ext>
          </a:extLst>
        </xdr:cNvPr>
        <xdr:cNvPicPr/>
      </xdr:nvPicPr>
      <xdr:blipFill>
        <a:blip xmlns:r="http://schemas.openxmlformats.org/officeDocument/2006/relationships" r:embed="rId51" cstate="print"/>
        <a:stretch>
          <a:fillRect/>
        </a:stretch>
      </xdr:blipFill>
      <xdr:spPr>
        <a:prstGeom prst="rect">
          <a:avLst/>
        </a:prstGeom>
      </xdr:spPr>
    </xdr:pic>
    <xdr:clientData/>
  </xdr:oneCellAnchor>
  <xdr:oneCellAnchor>
    <xdr:from>
      <xdr:col>0</xdr:col>
      <xdr:colOff>0</xdr:colOff>
      <xdr:row>178</xdr:row>
      <xdr:rowOff>0</xdr:rowOff>
    </xdr:from>
    <xdr:ext cx="323850" cy="323850"/>
    <xdr:pic>
      <xdr:nvPicPr>
        <xdr:cNvPr id="151" name="Image 150" descr="Picture">
          <a:extLst>
            <a:ext uri="{FF2B5EF4-FFF2-40B4-BE49-F238E27FC236}">
              <a16:creationId xmlns:a16="http://schemas.microsoft.com/office/drawing/2014/main" id="{00000000-0008-0000-0F00-000097000000}"/>
            </a:ext>
          </a:extLst>
        </xdr:cNvPr>
        <xdr:cNvPicPr/>
      </xdr:nvPicPr>
      <xdr:blipFill>
        <a:blip xmlns:r="http://schemas.openxmlformats.org/officeDocument/2006/relationships" r:embed="rId52" cstate="print"/>
        <a:stretch>
          <a:fillRect/>
        </a:stretch>
      </xdr:blipFill>
      <xdr:spPr>
        <a:prstGeom prst="rect">
          <a:avLst/>
        </a:prstGeom>
      </xdr:spPr>
    </xdr:pic>
    <xdr:clientData/>
  </xdr:oneCellAnchor>
  <xdr:oneCellAnchor>
    <xdr:from>
      <xdr:col>0</xdr:col>
      <xdr:colOff>0</xdr:colOff>
      <xdr:row>179</xdr:row>
      <xdr:rowOff>0</xdr:rowOff>
    </xdr:from>
    <xdr:ext cx="323850" cy="323850"/>
    <xdr:pic>
      <xdr:nvPicPr>
        <xdr:cNvPr id="152" name="Image 151" descr="Picture">
          <a:extLst>
            <a:ext uri="{FF2B5EF4-FFF2-40B4-BE49-F238E27FC236}">
              <a16:creationId xmlns:a16="http://schemas.microsoft.com/office/drawing/2014/main" id="{00000000-0008-0000-0F00-000098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180</xdr:row>
      <xdr:rowOff>0</xdr:rowOff>
    </xdr:from>
    <xdr:ext cx="323850" cy="323850"/>
    <xdr:pic>
      <xdr:nvPicPr>
        <xdr:cNvPr id="153" name="Image 152" descr="Picture">
          <a:extLst>
            <a:ext uri="{FF2B5EF4-FFF2-40B4-BE49-F238E27FC236}">
              <a16:creationId xmlns:a16="http://schemas.microsoft.com/office/drawing/2014/main" id="{00000000-0008-0000-0F00-000099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181</xdr:row>
      <xdr:rowOff>0</xdr:rowOff>
    </xdr:from>
    <xdr:ext cx="323850" cy="161925"/>
    <xdr:pic>
      <xdr:nvPicPr>
        <xdr:cNvPr id="154" name="Image 153" descr="Picture">
          <a:extLst>
            <a:ext uri="{FF2B5EF4-FFF2-40B4-BE49-F238E27FC236}">
              <a16:creationId xmlns:a16="http://schemas.microsoft.com/office/drawing/2014/main" id="{00000000-0008-0000-0F00-00009A000000}"/>
            </a:ext>
          </a:extLst>
        </xdr:cNvPr>
        <xdr:cNvPicPr/>
      </xdr:nvPicPr>
      <xdr:blipFill>
        <a:blip xmlns:r="http://schemas.openxmlformats.org/officeDocument/2006/relationships" r:embed="rId53" cstate="print"/>
        <a:stretch>
          <a:fillRect/>
        </a:stretch>
      </xdr:blipFill>
      <xdr:spPr>
        <a:prstGeom prst="rect">
          <a:avLst/>
        </a:prstGeom>
      </xdr:spPr>
    </xdr:pic>
    <xdr:clientData/>
  </xdr:oneCellAnchor>
  <xdr:oneCellAnchor>
    <xdr:from>
      <xdr:col>0</xdr:col>
      <xdr:colOff>0</xdr:colOff>
      <xdr:row>182</xdr:row>
      <xdr:rowOff>0</xdr:rowOff>
    </xdr:from>
    <xdr:ext cx="323850" cy="323850"/>
    <xdr:pic>
      <xdr:nvPicPr>
        <xdr:cNvPr id="155" name="Image 154" descr="Picture">
          <a:extLst>
            <a:ext uri="{FF2B5EF4-FFF2-40B4-BE49-F238E27FC236}">
              <a16:creationId xmlns:a16="http://schemas.microsoft.com/office/drawing/2014/main" id="{00000000-0008-0000-0F00-00009B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183</xdr:row>
      <xdr:rowOff>0</xdr:rowOff>
    </xdr:from>
    <xdr:ext cx="323850" cy="323850"/>
    <xdr:pic>
      <xdr:nvPicPr>
        <xdr:cNvPr id="156" name="Image 155" descr="Picture">
          <a:extLst>
            <a:ext uri="{FF2B5EF4-FFF2-40B4-BE49-F238E27FC236}">
              <a16:creationId xmlns:a16="http://schemas.microsoft.com/office/drawing/2014/main" id="{00000000-0008-0000-0F00-00009C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185</xdr:row>
      <xdr:rowOff>0</xdr:rowOff>
    </xdr:from>
    <xdr:ext cx="161925" cy="323850"/>
    <xdr:pic>
      <xdr:nvPicPr>
        <xdr:cNvPr id="157" name="Image 156" descr="Picture">
          <a:extLst>
            <a:ext uri="{FF2B5EF4-FFF2-40B4-BE49-F238E27FC236}">
              <a16:creationId xmlns:a16="http://schemas.microsoft.com/office/drawing/2014/main" id="{00000000-0008-0000-0F00-00009D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186</xdr:row>
      <xdr:rowOff>0</xdr:rowOff>
    </xdr:from>
    <xdr:ext cx="209550" cy="323850"/>
    <xdr:pic>
      <xdr:nvPicPr>
        <xdr:cNvPr id="158" name="Image 157" descr="Picture">
          <a:extLst>
            <a:ext uri="{FF2B5EF4-FFF2-40B4-BE49-F238E27FC236}">
              <a16:creationId xmlns:a16="http://schemas.microsoft.com/office/drawing/2014/main" id="{00000000-0008-0000-0F00-00009E000000}"/>
            </a:ext>
          </a:extLst>
        </xdr:cNvPr>
        <xdr:cNvPicPr/>
      </xdr:nvPicPr>
      <xdr:blipFill>
        <a:blip xmlns:r="http://schemas.openxmlformats.org/officeDocument/2006/relationships" r:embed="rId24" cstate="print"/>
        <a:stretch>
          <a:fillRect/>
        </a:stretch>
      </xdr:blipFill>
      <xdr:spPr>
        <a:prstGeom prst="rect">
          <a:avLst/>
        </a:prstGeom>
      </xdr:spPr>
    </xdr:pic>
    <xdr:clientData/>
  </xdr:oneCellAnchor>
  <xdr:oneCellAnchor>
    <xdr:from>
      <xdr:col>0</xdr:col>
      <xdr:colOff>0</xdr:colOff>
      <xdr:row>187</xdr:row>
      <xdr:rowOff>0</xdr:rowOff>
    </xdr:from>
    <xdr:ext cx="323850" cy="323850"/>
    <xdr:pic>
      <xdr:nvPicPr>
        <xdr:cNvPr id="159" name="Image 158" descr="Picture">
          <a:extLst>
            <a:ext uri="{FF2B5EF4-FFF2-40B4-BE49-F238E27FC236}">
              <a16:creationId xmlns:a16="http://schemas.microsoft.com/office/drawing/2014/main" id="{00000000-0008-0000-0F00-00009F000000}"/>
            </a:ext>
          </a:extLst>
        </xdr:cNvPr>
        <xdr:cNvPicPr/>
      </xdr:nvPicPr>
      <xdr:blipFill>
        <a:blip xmlns:r="http://schemas.openxmlformats.org/officeDocument/2006/relationships" r:embed="rId34" cstate="print"/>
        <a:stretch>
          <a:fillRect/>
        </a:stretch>
      </xdr:blipFill>
      <xdr:spPr>
        <a:prstGeom prst="rect">
          <a:avLst/>
        </a:prstGeom>
      </xdr:spPr>
    </xdr:pic>
    <xdr:clientData/>
  </xdr:oneCellAnchor>
  <xdr:oneCellAnchor>
    <xdr:from>
      <xdr:col>0</xdr:col>
      <xdr:colOff>0</xdr:colOff>
      <xdr:row>188</xdr:row>
      <xdr:rowOff>0</xdr:rowOff>
    </xdr:from>
    <xdr:ext cx="228600" cy="323850"/>
    <xdr:pic>
      <xdr:nvPicPr>
        <xdr:cNvPr id="160" name="Image 159" descr="Picture">
          <a:extLst>
            <a:ext uri="{FF2B5EF4-FFF2-40B4-BE49-F238E27FC236}">
              <a16:creationId xmlns:a16="http://schemas.microsoft.com/office/drawing/2014/main" id="{00000000-0008-0000-0F00-0000A0000000}"/>
            </a:ext>
          </a:extLst>
        </xdr:cNvPr>
        <xdr:cNvPicPr/>
      </xdr:nvPicPr>
      <xdr:blipFill>
        <a:blip xmlns:r="http://schemas.openxmlformats.org/officeDocument/2006/relationships" r:embed="rId49" cstate="print"/>
        <a:stretch>
          <a:fillRect/>
        </a:stretch>
      </xdr:blipFill>
      <xdr:spPr>
        <a:prstGeom prst="rect">
          <a:avLst/>
        </a:prstGeom>
      </xdr:spPr>
    </xdr:pic>
    <xdr:clientData/>
  </xdr:oneCellAnchor>
  <xdr:oneCellAnchor>
    <xdr:from>
      <xdr:col>0</xdr:col>
      <xdr:colOff>0</xdr:colOff>
      <xdr:row>189</xdr:row>
      <xdr:rowOff>0</xdr:rowOff>
    </xdr:from>
    <xdr:ext cx="323850" cy="314325"/>
    <xdr:pic>
      <xdr:nvPicPr>
        <xdr:cNvPr id="161" name="Image 160" descr="Picture">
          <a:extLst>
            <a:ext uri="{FF2B5EF4-FFF2-40B4-BE49-F238E27FC236}">
              <a16:creationId xmlns:a16="http://schemas.microsoft.com/office/drawing/2014/main" id="{00000000-0008-0000-0F00-0000A1000000}"/>
            </a:ext>
          </a:extLst>
        </xdr:cNvPr>
        <xdr:cNvPicPr/>
      </xdr:nvPicPr>
      <xdr:blipFill>
        <a:blip xmlns:r="http://schemas.openxmlformats.org/officeDocument/2006/relationships" r:embed="rId36" cstate="print"/>
        <a:stretch>
          <a:fillRect/>
        </a:stretch>
      </xdr:blipFill>
      <xdr:spPr>
        <a:prstGeom prst="rect">
          <a:avLst/>
        </a:prstGeom>
      </xdr:spPr>
    </xdr:pic>
    <xdr:clientData/>
  </xdr:oneCellAnchor>
  <xdr:oneCellAnchor>
    <xdr:from>
      <xdr:col>0</xdr:col>
      <xdr:colOff>0</xdr:colOff>
      <xdr:row>190</xdr:row>
      <xdr:rowOff>0</xdr:rowOff>
    </xdr:from>
    <xdr:ext cx="257175" cy="323850"/>
    <xdr:pic>
      <xdr:nvPicPr>
        <xdr:cNvPr id="162" name="Image 161" descr="Picture">
          <a:extLst>
            <a:ext uri="{FF2B5EF4-FFF2-40B4-BE49-F238E27FC236}">
              <a16:creationId xmlns:a16="http://schemas.microsoft.com/office/drawing/2014/main" id="{00000000-0008-0000-0F00-0000A2000000}"/>
            </a:ext>
          </a:extLst>
        </xdr:cNvPr>
        <xdr:cNvPicPr/>
      </xdr:nvPicPr>
      <xdr:blipFill>
        <a:blip xmlns:r="http://schemas.openxmlformats.org/officeDocument/2006/relationships" r:embed="rId51" cstate="print"/>
        <a:stretch>
          <a:fillRect/>
        </a:stretch>
      </xdr:blipFill>
      <xdr:spPr>
        <a:prstGeom prst="rect">
          <a:avLst/>
        </a:prstGeom>
      </xdr:spPr>
    </xdr:pic>
    <xdr:clientData/>
  </xdr:oneCellAnchor>
  <xdr:oneCellAnchor>
    <xdr:from>
      <xdr:col>0</xdr:col>
      <xdr:colOff>0</xdr:colOff>
      <xdr:row>191</xdr:row>
      <xdr:rowOff>0</xdr:rowOff>
    </xdr:from>
    <xdr:ext cx="323850" cy="323850"/>
    <xdr:pic>
      <xdr:nvPicPr>
        <xdr:cNvPr id="163" name="Image 162" descr="Picture">
          <a:extLst>
            <a:ext uri="{FF2B5EF4-FFF2-40B4-BE49-F238E27FC236}">
              <a16:creationId xmlns:a16="http://schemas.microsoft.com/office/drawing/2014/main" id="{00000000-0008-0000-0F00-0000A3000000}"/>
            </a:ext>
          </a:extLst>
        </xdr:cNvPr>
        <xdr:cNvPicPr/>
      </xdr:nvPicPr>
      <xdr:blipFill>
        <a:blip xmlns:r="http://schemas.openxmlformats.org/officeDocument/2006/relationships" r:embed="rId52" cstate="print"/>
        <a:stretch>
          <a:fillRect/>
        </a:stretch>
      </xdr:blipFill>
      <xdr:spPr>
        <a:prstGeom prst="rect">
          <a:avLst/>
        </a:prstGeom>
      </xdr:spPr>
    </xdr:pic>
    <xdr:clientData/>
  </xdr:oneCellAnchor>
  <xdr:oneCellAnchor>
    <xdr:from>
      <xdr:col>0</xdr:col>
      <xdr:colOff>0</xdr:colOff>
      <xdr:row>192</xdr:row>
      <xdr:rowOff>0</xdr:rowOff>
    </xdr:from>
    <xdr:ext cx="323850" cy="323850"/>
    <xdr:pic>
      <xdr:nvPicPr>
        <xdr:cNvPr id="164" name="Image 163" descr="Picture">
          <a:extLst>
            <a:ext uri="{FF2B5EF4-FFF2-40B4-BE49-F238E27FC236}">
              <a16:creationId xmlns:a16="http://schemas.microsoft.com/office/drawing/2014/main" id="{00000000-0008-0000-0F00-0000A4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193</xdr:row>
      <xdr:rowOff>0</xdr:rowOff>
    </xdr:from>
    <xdr:ext cx="323850" cy="323850"/>
    <xdr:pic>
      <xdr:nvPicPr>
        <xdr:cNvPr id="165" name="Image 164" descr="Picture">
          <a:extLst>
            <a:ext uri="{FF2B5EF4-FFF2-40B4-BE49-F238E27FC236}">
              <a16:creationId xmlns:a16="http://schemas.microsoft.com/office/drawing/2014/main" id="{00000000-0008-0000-0F00-0000A5000000}"/>
            </a:ext>
          </a:extLst>
        </xdr:cNvPr>
        <xdr:cNvPicPr/>
      </xdr:nvPicPr>
      <xdr:blipFill>
        <a:blip xmlns:r="http://schemas.openxmlformats.org/officeDocument/2006/relationships" r:embed="rId39" cstate="print"/>
        <a:stretch>
          <a:fillRect/>
        </a:stretch>
      </xdr:blipFill>
      <xdr:spPr>
        <a:prstGeom prst="rect">
          <a:avLst/>
        </a:prstGeom>
      </xdr:spPr>
    </xdr:pic>
    <xdr:clientData/>
  </xdr:oneCellAnchor>
  <xdr:oneCellAnchor>
    <xdr:from>
      <xdr:col>0</xdr:col>
      <xdr:colOff>0</xdr:colOff>
      <xdr:row>194</xdr:row>
      <xdr:rowOff>0</xdr:rowOff>
    </xdr:from>
    <xdr:ext cx="323850" cy="161925"/>
    <xdr:pic>
      <xdr:nvPicPr>
        <xdr:cNvPr id="166" name="Image 165" descr="Picture">
          <a:extLst>
            <a:ext uri="{FF2B5EF4-FFF2-40B4-BE49-F238E27FC236}">
              <a16:creationId xmlns:a16="http://schemas.microsoft.com/office/drawing/2014/main" id="{00000000-0008-0000-0F00-0000A6000000}"/>
            </a:ext>
          </a:extLst>
        </xdr:cNvPr>
        <xdr:cNvPicPr/>
      </xdr:nvPicPr>
      <xdr:blipFill>
        <a:blip xmlns:r="http://schemas.openxmlformats.org/officeDocument/2006/relationships" r:embed="rId53" cstate="print"/>
        <a:stretch>
          <a:fillRect/>
        </a:stretch>
      </xdr:blipFill>
      <xdr:spPr>
        <a:prstGeom prst="rect">
          <a:avLst/>
        </a:prstGeom>
      </xdr:spPr>
    </xdr:pic>
    <xdr:clientData/>
  </xdr:oneCellAnchor>
  <xdr:oneCellAnchor>
    <xdr:from>
      <xdr:col>0</xdr:col>
      <xdr:colOff>0</xdr:colOff>
      <xdr:row>195</xdr:row>
      <xdr:rowOff>0</xdr:rowOff>
    </xdr:from>
    <xdr:ext cx="323850" cy="323850"/>
    <xdr:pic>
      <xdr:nvPicPr>
        <xdr:cNvPr id="167" name="Image 166" descr="Picture">
          <a:extLst>
            <a:ext uri="{FF2B5EF4-FFF2-40B4-BE49-F238E27FC236}">
              <a16:creationId xmlns:a16="http://schemas.microsoft.com/office/drawing/2014/main" id="{00000000-0008-0000-0F00-0000A7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196</xdr:row>
      <xdr:rowOff>0</xdr:rowOff>
    </xdr:from>
    <xdr:ext cx="323850" cy="323850"/>
    <xdr:pic>
      <xdr:nvPicPr>
        <xdr:cNvPr id="168" name="Image 167" descr="Picture">
          <a:extLst>
            <a:ext uri="{FF2B5EF4-FFF2-40B4-BE49-F238E27FC236}">
              <a16:creationId xmlns:a16="http://schemas.microsoft.com/office/drawing/2014/main" id="{00000000-0008-0000-0F00-0000A8000000}"/>
            </a:ext>
          </a:extLst>
        </xdr:cNvPr>
        <xdr:cNvPicPr/>
      </xdr:nvPicPr>
      <xdr:blipFill>
        <a:blip xmlns:r="http://schemas.openxmlformats.org/officeDocument/2006/relationships" r:embed="rId41" cstate="print"/>
        <a:stretch>
          <a:fillRect/>
        </a:stretch>
      </xdr:blipFill>
      <xdr:spPr>
        <a:prstGeom prst="rect">
          <a:avLst/>
        </a:prstGeom>
      </xdr:spPr>
    </xdr:pic>
    <xdr:clientData/>
  </xdr:oneCellAnchor>
  <xdr:oneCellAnchor>
    <xdr:from>
      <xdr:col>0</xdr:col>
      <xdr:colOff>0</xdr:colOff>
      <xdr:row>200</xdr:row>
      <xdr:rowOff>0</xdr:rowOff>
    </xdr:from>
    <xdr:ext cx="247650" cy="247650"/>
    <xdr:pic>
      <xdr:nvPicPr>
        <xdr:cNvPr id="169" name="Image 168" descr="Picture">
          <a:extLst>
            <a:ext uri="{FF2B5EF4-FFF2-40B4-BE49-F238E27FC236}">
              <a16:creationId xmlns:a16="http://schemas.microsoft.com/office/drawing/2014/main" id="{00000000-0008-0000-0F00-0000A9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201</xdr:row>
      <xdr:rowOff>0</xdr:rowOff>
    </xdr:from>
    <xdr:ext cx="247650" cy="247650"/>
    <xdr:pic>
      <xdr:nvPicPr>
        <xdr:cNvPr id="170" name="Image 169" descr="Picture">
          <a:extLst>
            <a:ext uri="{FF2B5EF4-FFF2-40B4-BE49-F238E27FC236}">
              <a16:creationId xmlns:a16="http://schemas.microsoft.com/office/drawing/2014/main" id="{00000000-0008-0000-0F00-0000AA000000}"/>
            </a:ext>
          </a:extLst>
        </xdr:cNvPr>
        <xdr:cNvPicPr/>
      </xdr:nvPicPr>
      <xdr:blipFill>
        <a:blip xmlns:r="http://schemas.openxmlformats.org/officeDocument/2006/relationships" r:embed="rId54" cstate="print"/>
        <a:stretch>
          <a:fillRect/>
        </a:stretch>
      </xdr:blipFill>
      <xdr:spPr>
        <a:prstGeom prst="rect">
          <a:avLst/>
        </a:prstGeom>
      </xdr:spPr>
    </xdr:pic>
    <xdr:clientData/>
  </xdr:oneCellAnchor>
  <xdr:oneCellAnchor>
    <xdr:from>
      <xdr:col>0</xdr:col>
      <xdr:colOff>0</xdr:colOff>
      <xdr:row>202</xdr:row>
      <xdr:rowOff>0</xdr:rowOff>
    </xdr:from>
    <xdr:ext cx="247650" cy="247650"/>
    <xdr:pic>
      <xdr:nvPicPr>
        <xdr:cNvPr id="171" name="Image 170" descr="Picture">
          <a:extLst>
            <a:ext uri="{FF2B5EF4-FFF2-40B4-BE49-F238E27FC236}">
              <a16:creationId xmlns:a16="http://schemas.microsoft.com/office/drawing/2014/main" id="{00000000-0008-0000-0F00-0000AB000000}"/>
            </a:ext>
          </a:extLst>
        </xdr:cNvPr>
        <xdr:cNvPicPr/>
      </xdr:nvPicPr>
      <xdr:blipFill>
        <a:blip xmlns:r="http://schemas.openxmlformats.org/officeDocument/2006/relationships" r:embed="rId55" cstate="print"/>
        <a:stretch>
          <a:fillRect/>
        </a:stretch>
      </xdr:blipFill>
      <xdr:spPr>
        <a:prstGeom prst="rect">
          <a:avLst/>
        </a:prstGeom>
      </xdr:spPr>
    </xdr:pic>
    <xdr:clientData/>
  </xdr:oneCellAnchor>
  <xdr:oneCellAnchor>
    <xdr:from>
      <xdr:col>0</xdr:col>
      <xdr:colOff>0</xdr:colOff>
      <xdr:row>203</xdr:row>
      <xdr:rowOff>0</xdr:rowOff>
    </xdr:from>
    <xdr:ext cx="247650" cy="247650"/>
    <xdr:pic>
      <xdr:nvPicPr>
        <xdr:cNvPr id="172" name="Image 171" descr="Picture">
          <a:extLst>
            <a:ext uri="{FF2B5EF4-FFF2-40B4-BE49-F238E27FC236}">
              <a16:creationId xmlns:a16="http://schemas.microsoft.com/office/drawing/2014/main" id="{00000000-0008-0000-0F00-0000AC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204</xdr:row>
      <xdr:rowOff>0</xdr:rowOff>
    </xdr:from>
    <xdr:ext cx="247650" cy="247650"/>
    <xdr:pic>
      <xdr:nvPicPr>
        <xdr:cNvPr id="173" name="Image 172" descr="Picture">
          <a:extLst>
            <a:ext uri="{FF2B5EF4-FFF2-40B4-BE49-F238E27FC236}">
              <a16:creationId xmlns:a16="http://schemas.microsoft.com/office/drawing/2014/main" id="{00000000-0008-0000-0F00-0000AD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205</xdr:row>
      <xdr:rowOff>0</xdr:rowOff>
    </xdr:from>
    <xdr:ext cx="247650" cy="247650"/>
    <xdr:pic>
      <xdr:nvPicPr>
        <xdr:cNvPr id="174" name="Image 173" descr="Picture">
          <a:extLst>
            <a:ext uri="{FF2B5EF4-FFF2-40B4-BE49-F238E27FC236}">
              <a16:creationId xmlns:a16="http://schemas.microsoft.com/office/drawing/2014/main" id="{00000000-0008-0000-0F00-0000AE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0</xdr:col>
      <xdr:colOff>0</xdr:colOff>
      <xdr:row>206</xdr:row>
      <xdr:rowOff>0</xdr:rowOff>
    </xdr:from>
    <xdr:ext cx="247650" cy="247650"/>
    <xdr:pic>
      <xdr:nvPicPr>
        <xdr:cNvPr id="175" name="Image 174" descr="Picture">
          <a:extLst>
            <a:ext uri="{FF2B5EF4-FFF2-40B4-BE49-F238E27FC236}">
              <a16:creationId xmlns:a16="http://schemas.microsoft.com/office/drawing/2014/main" id="{00000000-0008-0000-0F00-0000AF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207</xdr:row>
      <xdr:rowOff>0</xdr:rowOff>
    </xdr:from>
    <xdr:ext cx="247650" cy="247650"/>
    <xdr:pic>
      <xdr:nvPicPr>
        <xdr:cNvPr id="176" name="Image 175" descr="Picture">
          <a:extLst>
            <a:ext uri="{FF2B5EF4-FFF2-40B4-BE49-F238E27FC236}">
              <a16:creationId xmlns:a16="http://schemas.microsoft.com/office/drawing/2014/main" id="{00000000-0008-0000-0F00-0000B0000000}"/>
            </a:ext>
          </a:extLst>
        </xdr:cNvPr>
        <xdr:cNvPicPr/>
      </xdr:nvPicPr>
      <xdr:blipFill>
        <a:blip xmlns:r="http://schemas.openxmlformats.org/officeDocument/2006/relationships" r:embed="rId42" cstate="print"/>
        <a:stretch>
          <a:fillRect/>
        </a:stretch>
      </xdr:blipFill>
      <xdr:spPr>
        <a:prstGeom prst="rect">
          <a:avLst/>
        </a:prstGeom>
      </xdr:spPr>
    </xdr:pic>
    <xdr:clientData/>
  </xdr:oneCellAnchor>
  <xdr:oneCellAnchor>
    <xdr:from>
      <xdr:col>0</xdr:col>
      <xdr:colOff>0</xdr:colOff>
      <xdr:row>208</xdr:row>
      <xdr:rowOff>0</xdr:rowOff>
    </xdr:from>
    <xdr:ext cx="247650" cy="247650"/>
    <xdr:pic>
      <xdr:nvPicPr>
        <xdr:cNvPr id="177" name="Image 176" descr="Picture">
          <a:extLst>
            <a:ext uri="{FF2B5EF4-FFF2-40B4-BE49-F238E27FC236}">
              <a16:creationId xmlns:a16="http://schemas.microsoft.com/office/drawing/2014/main" id="{00000000-0008-0000-0F00-0000B1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209</xdr:row>
      <xdr:rowOff>0</xdr:rowOff>
    </xdr:from>
    <xdr:ext cx="247650" cy="247650"/>
    <xdr:pic>
      <xdr:nvPicPr>
        <xdr:cNvPr id="178" name="Image 177" descr="Picture">
          <a:extLst>
            <a:ext uri="{FF2B5EF4-FFF2-40B4-BE49-F238E27FC236}">
              <a16:creationId xmlns:a16="http://schemas.microsoft.com/office/drawing/2014/main" id="{00000000-0008-0000-0F00-0000B2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210</xdr:row>
      <xdr:rowOff>0</xdr:rowOff>
    </xdr:from>
    <xdr:ext cx="247650" cy="247650"/>
    <xdr:pic>
      <xdr:nvPicPr>
        <xdr:cNvPr id="179" name="Image 178" descr="Picture">
          <a:extLst>
            <a:ext uri="{FF2B5EF4-FFF2-40B4-BE49-F238E27FC236}">
              <a16:creationId xmlns:a16="http://schemas.microsoft.com/office/drawing/2014/main" id="{00000000-0008-0000-0F00-0000B3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211</xdr:row>
      <xdr:rowOff>0</xdr:rowOff>
    </xdr:from>
    <xdr:ext cx="247650" cy="247650"/>
    <xdr:pic>
      <xdr:nvPicPr>
        <xdr:cNvPr id="180" name="Image 179" descr="Picture">
          <a:extLst>
            <a:ext uri="{FF2B5EF4-FFF2-40B4-BE49-F238E27FC236}">
              <a16:creationId xmlns:a16="http://schemas.microsoft.com/office/drawing/2014/main" id="{00000000-0008-0000-0F00-0000B4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212</xdr:row>
      <xdr:rowOff>0</xdr:rowOff>
    </xdr:from>
    <xdr:ext cx="247650" cy="247650"/>
    <xdr:pic>
      <xdr:nvPicPr>
        <xdr:cNvPr id="181" name="Image 180" descr="Picture">
          <a:extLst>
            <a:ext uri="{FF2B5EF4-FFF2-40B4-BE49-F238E27FC236}">
              <a16:creationId xmlns:a16="http://schemas.microsoft.com/office/drawing/2014/main" id="{00000000-0008-0000-0F00-0000B5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213</xdr:row>
      <xdr:rowOff>0</xdr:rowOff>
    </xdr:from>
    <xdr:ext cx="247650" cy="247650"/>
    <xdr:pic>
      <xdr:nvPicPr>
        <xdr:cNvPr id="182" name="Image 181" descr="Picture">
          <a:extLst>
            <a:ext uri="{FF2B5EF4-FFF2-40B4-BE49-F238E27FC236}">
              <a16:creationId xmlns:a16="http://schemas.microsoft.com/office/drawing/2014/main" id="{00000000-0008-0000-0F00-0000B6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214</xdr:row>
      <xdr:rowOff>0</xdr:rowOff>
    </xdr:from>
    <xdr:ext cx="247650" cy="247650"/>
    <xdr:pic>
      <xdr:nvPicPr>
        <xdr:cNvPr id="183" name="Image 182" descr="Picture">
          <a:extLst>
            <a:ext uri="{FF2B5EF4-FFF2-40B4-BE49-F238E27FC236}">
              <a16:creationId xmlns:a16="http://schemas.microsoft.com/office/drawing/2014/main" id="{00000000-0008-0000-0F00-0000B7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215</xdr:row>
      <xdr:rowOff>0</xdr:rowOff>
    </xdr:from>
    <xdr:ext cx="247650" cy="247650"/>
    <xdr:pic>
      <xdr:nvPicPr>
        <xdr:cNvPr id="184" name="Image 183" descr="Picture">
          <a:extLst>
            <a:ext uri="{FF2B5EF4-FFF2-40B4-BE49-F238E27FC236}">
              <a16:creationId xmlns:a16="http://schemas.microsoft.com/office/drawing/2014/main" id="{00000000-0008-0000-0F00-0000B8000000}"/>
            </a:ext>
          </a:extLst>
        </xdr:cNvPr>
        <xdr:cNvPicPr/>
      </xdr:nvPicPr>
      <xdr:blipFill>
        <a:blip xmlns:r="http://schemas.openxmlformats.org/officeDocument/2006/relationships" r:embed="rId42" cstate="print"/>
        <a:stretch>
          <a:fillRect/>
        </a:stretch>
      </xdr:blipFill>
      <xdr:spPr>
        <a:prstGeom prst="rect">
          <a:avLst/>
        </a:prstGeom>
      </xdr:spPr>
    </xdr:pic>
    <xdr:clientData/>
  </xdr:oneCellAnchor>
  <xdr:oneCellAnchor>
    <xdr:from>
      <xdr:col>0</xdr:col>
      <xdr:colOff>0</xdr:colOff>
      <xdr:row>216</xdr:row>
      <xdr:rowOff>0</xdr:rowOff>
    </xdr:from>
    <xdr:ext cx="247650" cy="247650"/>
    <xdr:pic>
      <xdr:nvPicPr>
        <xdr:cNvPr id="185" name="Image 184" descr="Picture">
          <a:extLst>
            <a:ext uri="{FF2B5EF4-FFF2-40B4-BE49-F238E27FC236}">
              <a16:creationId xmlns:a16="http://schemas.microsoft.com/office/drawing/2014/main" id="{00000000-0008-0000-0F00-0000B9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217</xdr:row>
      <xdr:rowOff>0</xdr:rowOff>
    </xdr:from>
    <xdr:ext cx="247650" cy="247650"/>
    <xdr:pic>
      <xdr:nvPicPr>
        <xdr:cNvPr id="186" name="Image 185" descr="Picture">
          <a:extLst>
            <a:ext uri="{FF2B5EF4-FFF2-40B4-BE49-F238E27FC236}">
              <a16:creationId xmlns:a16="http://schemas.microsoft.com/office/drawing/2014/main" id="{00000000-0008-0000-0F00-0000BA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219</xdr:row>
      <xdr:rowOff>0</xdr:rowOff>
    </xdr:from>
    <xdr:ext cx="161925" cy="323850"/>
    <xdr:pic>
      <xdr:nvPicPr>
        <xdr:cNvPr id="187" name="Image 186" descr="Picture">
          <a:extLst>
            <a:ext uri="{FF2B5EF4-FFF2-40B4-BE49-F238E27FC236}">
              <a16:creationId xmlns:a16="http://schemas.microsoft.com/office/drawing/2014/main" id="{00000000-0008-0000-0F00-0000BB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220</xdr:row>
      <xdr:rowOff>0</xdr:rowOff>
    </xdr:from>
    <xdr:ext cx="219075" cy="323850"/>
    <xdr:pic>
      <xdr:nvPicPr>
        <xdr:cNvPr id="188" name="Image 187" descr="Picture">
          <a:extLst>
            <a:ext uri="{FF2B5EF4-FFF2-40B4-BE49-F238E27FC236}">
              <a16:creationId xmlns:a16="http://schemas.microsoft.com/office/drawing/2014/main" id="{00000000-0008-0000-0F00-0000BC000000}"/>
            </a:ext>
          </a:extLst>
        </xdr:cNvPr>
        <xdr:cNvPicPr/>
      </xdr:nvPicPr>
      <xdr:blipFill>
        <a:blip xmlns:r="http://schemas.openxmlformats.org/officeDocument/2006/relationships" r:embed="rId56" cstate="print"/>
        <a:stretch>
          <a:fillRect/>
        </a:stretch>
      </xdr:blipFill>
      <xdr:spPr>
        <a:prstGeom prst="rect">
          <a:avLst/>
        </a:prstGeom>
      </xdr:spPr>
    </xdr:pic>
    <xdr:clientData/>
  </xdr:oneCellAnchor>
  <xdr:oneCellAnchor>
    <xdr:from>
      <xdr:col>0</xdr:col>
      <xdr:colOff>0</xdr:colOff>
      <xdr:row>221</xdr:row>
      <xdr:rowOff>0</xdr:rowOff>
    </xdr:from>
    <xdr:ext cx="323850" cy="323850"/>
    <xdr:pic>
      <xdr:nvPicPr>
        <xdr:cNvPr id="189" name="Image 188" descr="Picture">
          <a:extLst>
            <a:ext uri="{FF2B5EF4-FFF2-40B4-BE49-F238E27FC236}">
              <a16:creationId xmlns:a16="http://schemas.microsoft.com/office/drawing/2014/main" id="{00000000-0008-0000-0F00-0000BD000000}"/>
            </a:ext>
          </a:extLst>
        </xdr:cNvPr>
        <xdr:cNvPicPr/>
      </xdr:nvPicPr>
      <xdr:blipFill>
        <a:blip xmlns:r="http://schemas.openxmlformats.org/officeDocument/2006/relationships" r:embed="rId57" cstate="print"/>
        <a:stretch>
          <a:fillRect/>
        </a:stretch>
      </xdr:blipFill>
      <xdr:spPr>
        <a:prstGeom prst="rect">
          <a:avLst/>
        </a:prstGeom>
      </xdr:spPr>
    </xdr:pic>
    <xdr:clientData/>
  </xdr:oneCellAnchor>
  <xdr:oneCellAnchor>
    <xdr:from>
      <xdr:col>0</xdr:col>
      <xdr:colOff>0</xdr:colOff>
      <xdr:row>222</xdr:row>
      <xdr:rowOff>0</xdr:rowOff>
    </xdr:from>
    <xdr:ext cx="238125" cy="323850"/>
    <xdr:pic>
      <xdr:nvPicPr>
        <xdr:cNvPr id="190" name="Image 189" descr="Picture">
          <a:extLst>
            <a:ext uri="{FF2B5EF4-FFF2-40B4-BE49-F238E27FC236}">
              <a16:creationId xmlns:a16="http://schemas.microsoft.com/office/drawing/2014/main" id="{00000000-0008-0000-0F00-0000BE000000}"/>
            </a:ext>
          </a:extLst>
        </xdr:cNvPr>
        <xdr:cNvPicPr/>
      </xdr:nvPicPr>
      <xdr:blipFill>
        <a:blip xmlns:r="http://schemas.openxmlformats.org/officeDocument/2006/relationships" r:embed="rId58" cstate="print"/>
        <a:stretch>
          <a:fillRect/>
        </a:stretch>
      </xdr:blipFill>
      <xdr:spPr>
        <a:prstGeom prst="rect">
          <a:avLst/>
        </a:prstGeom>
      </xdr:spPr>
    </xdr:pic>
    <xdr:clientData/>
  </xdr:oneCellAnchor>
  <xdr:oneCellAnchor>
    <xdr:from>
      <xdr:col>0</xdr:col>
      <xdr:colOff>0</xdr:colOff>
      <xdr:row>223</xdr:row>
      <xdr:rowOff>0</xdr:rowOff>
    </xdr:from>
    <xdr:ext cx="180975" cy="323850"/>
    <xdr:pic>
      <xdr:nvPicPr>
        <xdr:cNvPr id="191" name="Image 190" descr="Picture">
          <a:extLst>
            <a:ext uri="{FF2B5EF4-FFF2-40B4-BE49-F238E27FC236}">
              <a16:creationId xmlns:a16="http://schemas.microsoft.com/office/drawing/2014/main" id="{00000000-0008-0000-0F00-0000BF000000}"/>
            </a:ext>
          </a:extLst>
        </xdr:cNvPr>
        <xdr:cNvPicPr/>
      </xdr:nvPicPr>
      <xdr:blipFill>
        <a:blip xmlns:r="http://schemas.openxmlformats.org/officeDocument/2006/relationships" r:embed="rId59" cstate="print"/>
        <a:stretch>
          <a:fillRect/>
        </a:stretch>
      </xdr:blipFill>
      <xdr:spPr>
        <a:prstGeom prst="rect">
          <a:avLst/>
        </a:prstGeom>
      </xdr:spPr>
    </xdr:pic>
    <xdr:clientData/>
  </xdr:oneCellAnchor>
  <xdr:oneCellAnchor>
    <xdr:from>
      <xdr:col>0</xdr:col>
      <xdr:colOff>0</xdr:colOff>
      <xdr:row>224</xdr:row>
      <xdr:rowOff>0</xdr:rowOff>
    </xdr:from>
    <xdr:ext cx="323850" cy="323850"/>
    <xdr:pic>
      <xdr:nvPicPr>
        <xdr:cNvPr id="192" name="Image 191" descr="Picture">
          <a:extLst>
            <a:ext uri="{FF2B5EF4-FFF2-40B4-BE49-F238E27FC236}">
              <a16:creationId xmlns:a16="http://schemas.microsoft.com/office/drawing/2014/main" id="{00000000-0008-0000-0F00-0000C0000000}"/>
            </a:ext>
          </a:extLst>
        </xdr:cNvPr>
        <xdr:cNvPicPr/>
      </xdr:nvPicPr>
      <xdr:blipFill>
        <a:blip xmlns:r="http://schemas.openxmlformats.org/officeDocument/2006/relationships" r:embed="rId60" cstate="print"/>
        <a:stretch>
          <a:fillRect/>
        </a:stretch>
      </xdr:blipFill>
      <xdr:spPr>
        <a:prstGeom prst="rect">
          <a:avLst/>
        </a:prstGeom>
      </xdr:spPr>
    </xdr:pic>
    <xdr:clientData/>
  </xdr:oneCellAnchor>
  <xdr:oneCellAnchor>
    <xdr:from>
      <xdr:col>0</xdr:col>
      <xdr:colOff>0</xdr:colOff>
      <xdr:row>225</xdr:row>
      <xdr:rowOff>0</xdr:rowOff>
    </xdr:from>
    <xdr:ext cx="314325" cy="323850"/>
    <xdr:pic>
      <xdr:nvPicPr>
        <xdr:cNvPr id="193" name="Image 192" descr="Picture">
          <a:extLst>
            <a:ext uri="{FF2B5EF4-FFF2-40B4-BE49-F238E27FC236}">
              <a16:creationId xmlns:a16="http://schemas.microsoft.com/office/drawing/2014/main" id="{00000000-0008-0000-0F00-0000C1000000}"/>
            </a:ext>
          </a:extLst>
        </xdr:cNvPr>
        <xdr:cNvPicPr/>
      </xdr:nvPicPr>
      <xdr:blipFill>
        <a:blip xmlns:r="http://schemas.openxmlformats.org/officeDocument/2006/relationships" r:embed="rId61" cstate="print"/>
        <a:stretch>
          <a:fillRect/>
        </a:stretch>
      </xdr:blipFill>
      <xdr:spPr>
        <a:prstGeom prst="rect">
          <a:avLst/>
        </a:prstGeom>
      </xdr:spPr>
    </xdr:pic>
    <xdr:clientData/>
  </xdr:oneCellAnchor>
  <xdr:oneCellAnchor>
    <xdr:from>
      <xdr:col>0</xdr:col>
      <xdr:colOff>0</xdr:colOff>
      <xdr:row>226</xdr:row>
      <xdr:rowOff>0</xdr:rowOff>
    </xdr:from>
    <xdr:ext cx="314325" cy="323850"/>
    <xdr:pic>
      <xdr:nvPicPr>
        <xdr:cNvPr id="194" name="Image 193" descr="Picture">
          <a:extLst>
            <a:ext uri="{FF2B5EF4-FFF2-40B4-BE49-F238E27FC236}">
              <a16:creationId xmlns:a16="http://schemas.microsoft.com/office/drawing/2014/main" id="{00000000-0008-0000-0F00-0000C2000000}"/>
            </a:ext>
          </a:extLst>
        </xdr:cNvPr>
        <xdr:cNvPicPr/>
      </xdr:nvPicPr>
      <xdr:blipFill>
        <a:blip xmlns:r="http://schemas.openxmlformats.org/officeDocument/2006/relationships" r:embed="rId62" cstate="print"/>
        <a:stretch>
          <a:fillRect/>
        </a:stretch>
      </xdr:blipFill>
      <xdr:spPr>
        <a:prstGeom prst="rect">
          <a:avLst/>
        </a:prstGeom>
      </xdr:spPr>
    </xdr:pic>
    <xdr:clientData/>
  </xdr:oneCellAnchor>
  <xdr:oneCellAnchor>
    <xdr:from>
      <xdr:col>0</xdr:col>
      <xdr:colOff>0</xdr:colOff>
      <xdr:row>227</xdr:row>
      <xdr:rowOff>0</xdr:rowOff>
    </xdr:from>
    <xdr:ext cx="323850" cy="323850"/>
    <xdr:pic>
      <xdr:nvPicPr>
        <xdr:cNvPr id="195" name="Image 194" descr="Picture">
          <a:extLst>
            <a:ext uri="{FF2B5EF4-FFF2-40B4-BE49-F238E27FC236}">
              <a16:creationId xmlns:a16="http://schemas.microsoft.com/office/drawing/2014/main" id="{00000000-0008-0000-0F00-0000C3000000}"/>
            </a:ext>
          </a:extLst>
        </xdr:cNvPr>
        <xdr:cNvPicPr/>
      </xdr:nvPicPr>
      <xdr:blipFill>
        <a:blip xmlns:r="http://schemas.openxmlformats.org/officeDocument/2006/relationships" r:embed="rId63" cstate="print"/>
        <a:stretch>
          <a:fillRect/>
        </a:stretch>
      </xdr:blipFill>
      <xdr:spPr>
        <a:prstGeom prst="rect">
          <a:avLst/>
        </a:prstGeom>
      </xdr:spPr>
    </xdr:pic>
    <xdr:clientData/>
  </xdr:oneCellAnchor>
  <xdr:oneCellAnchor>
    <xdr:from>
      <xdr:col>0</xdr:col>
      <xdr:colOff>0</xdr:colOff>
      <xdr:row>228</xdr:row>
      <xdr:rowOff>0</xdr:rowOff>
    </xdr:from>
    <xdr:ext cx="323850" cy="323850"/>
    <xdr:pic>
      <xdr:nvPicPr>
        <xdr:cNvPr id="196" name="Image 195" descr="Picture">
          <a:extLst>
            <a:ext uri="{FF2B5EF4-FFF2-40B4-BE49-F238E27FC236}">
              <a16:creationId xmlns:a16="http://schemas.microsoft.com/office/drawing/2014/main" id="{00000000-0008-0000-0F00-0000C4000000}"/>
            </a:ext>
          </a:extLst>
        </xdr:cNvPr>
        <xdr:cNvPicPr/>
      </xdr:nvPicPr>
      <xdr:blipFill>
        <a:blip xmlns:r="http://schemas.openxmlformats.org/officeDocument/2006/relationships" r:embed="rId64" cstate="print"/>
        <a:stretch>
          <a:fillRect/>
        </a:stretch>
      </xdr:blipFill>
      <xdr:spPr>
        <a:prstGeom prst="rect">
          <a:avLst/>
        </a:prstGeom>
      </xdr:spPr>
    </xdr:pic>
    <xdr:clientData/>
  </xdr:oneCellAnchor>
  <xdr:oneCellAnchor>
    <xdr:from>
      <xdr:col>0</xdr:col>
      <xdr:colOff>0</xdr:colOff>
      <xdr:row>229</xdr:row>
      <xdr:rowOff>0</xdr:rowOff>
    </xdr:from>
    <xdr:ext cx="323850" cy="171450"/>
    <xdr:pic>
      <xdr:nvPicPr>
        <xdr:cNvPr id="197" name="Image 196" descr="Picture">
          <a:extLst>
            <a:ext uri="{FF2B5EF4-FFF2-40B4-BE49-F238E27FC236}">
              <a16:creationId xmlns:a16="http://schemas.microsoft.com/office/drawing/2014/main" id="{00000000-0008-0000-0F00-0000C5000000}"/>
            </a:ext>
          </a:extLst>
        </xdr:cNvPr>
        <xdr:cNvPicPr/>
      </xdr:nvPicPr>
      <xdr:blipFill>
        <a:blip xmlns:r="http://schemas.openxmlformats.org/officeDocument/2006/relationships" r:embed="rId65" cstate="print"/>
        <a:stretch>
          <a:fillRect/>
        </a:stretch>
      </xdr:blipFill>
      <xdr:spPr>
        <a:prstGeom prst="rect">
          <a:avLst/>
        </a:prstGeom>
      </xdr:spPr>
    </xdr:pic>
    <xdr:clientData/>
  </xdr:oneCellAnchor>
  <xdr:oneCellAnchor>
    <xdr:from>
      <xdr:col>0</xdr:col>
      <xdr:colOff>0</xdr:colOff>
      <xdr:row>230</xdr:row>
      <xdr:rowOff>0</xdr:rowOff>
    </xdr:from>
    <xdr:ext cx="161925" cy="323850"/>
    <xdr:pic>
      <xdr:nvPicPr>
        <xdr:cNvPr id="198" name="Image 197" descr="Picture">
          <a:extLst>
            <a:ext uri="{FF2B5EF4-FFF2-40B4-BE49-F238E27FC236}">
              <a16:creationId xmlns:a16="http://schemas.microsoft.com/office/drawing/2014/main" id="{00000000-0008-0000-0F00-0000C6000000}"/>
            </a:ext>
          </a:extLst>
        </xdr:cNvPr>
        <xdr:cNvPicPr/>
      </xdr:nvPicPr>
      <xdr:blipFill>
        <a:blip xmlns:r="http://schemas.openxmlformats.org/officeDocument/2006/relationships" r:embed="rId66" cstate="print"/>
        <a:stretch>
          <a:fillRect/>
        </a:stretch>
      </xdr:blipFill>
      <xdr:spPr>
        <a:prstGeom prst="rect">
          <a:avLst/>
        </a:prstGeom>
      </xdr:spPr>
    </xdr:pic>
    <xdr:clientData/>
  </xdr:oneCellAnchor>
  <xdr:oneCellAnchor>
    <xdr:from>
      <xdr:col>0</xdr:col>
      <xdr:colOff>0</xdr:colOff>
      <xdr:row>232</xdr:row>
      <xdr:rowOff>0</xdr:rowOff>
    </xdr:from>
    <xdr:ext cx="161925" cy="323850"/>
    <xdr:pic>
      <xdr:nvPicPr>
        <xdr:cNvPr id="199" name="Image 198" descr="Picture">
          <a:extLst>
            <a:ext uri="{FF2B5EF4-FFF2-40B4-BE49-F238E27FC236}">
              <a16:creationId xmlns:a16="http://schemas.microsoft.com/office/drawing/2014/main" id="{00000000-0008-0000-0F00-0000C7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233</xdr:row>
      <xdr:rowOff>0</xdr:rowOff>
    </xdr:from>
    <xdr:ext cx="219075" cy="323850"/>
    <xdr:pic>
      <xdr:nvPicPr>
        <xdr:cNvPr id="200" name="Image 199" descr="Picture">
          <a:extLst>
            <a:ext uri="{FF2B5EF4-FFF2-40B4-BE49-F238E27FC236}">
              <a16:creationId xmlns:a16="http://schemas.microsoft.com/office/drawing/2014/main" id="{00000000-0008-0000-0F00-0000C8000000}"/>
            </a:ext>
          </a:extLst>
        </xdr:cNvPr>
        <xdr:cNvPicPr/>
      </xdr:nvPicPr>
      <xdr:blipFill>
        <a:blip xmlns:r="http://schemas.openxmlformats.org/officeDocument/2006/relationships" r:embed="rId56" cstate="print"/>
        <a:stretch>
          <a:fillRect/>
        </a:stretch>
      </xdr:blipFill>
      <xdr:spPr>
        <a:prstGeom prst="rect">
          <a:avLst/>
        </a:prstGeom>
      </xdr:spPr>
    </xdr:pic>
    <xdr:clientData/>
  </xdr:oneCellAnchor>
  <xdr:oneCellAnchor>
    <xdr:from>
      <xdr:col>0</xdr:col>
      <xdr:colOff>0</xdr:colOff>
      <xdr:row>234</xdr:row>
      <xdr:rowOff>0</xdr:rowOff>
    </xdr:from>
    <xdr:ext cx="323850" cy="323850"/>
    <xdr:pic>
      <xdr:nvPicPr>
        <xdr:cNvPr id="201" name="Image 200" descr="Picture">
          <a:extLst>
            <a:ext uri="{FF2B5EF4-FFF2-40B4-BE49-F238E27FC236}">
              <a16:creationId xmlns:a16="http://schemas.microsoft.com/office/drawing/2014/main" id="{00000000-0008-0000-0F00-0000C9000000}"/>
            </a:ext>
          </a:extLst>
        </xdr:cNvPr>
        <xdr:cNvPicPr/>
      </xdr:nvPicPr>
      <xdr:blipFill>
        <a:blip xmlns:r="http://schemas.openxmlformats.org/officeDocument/2006/relationships" r:embed="rId57" cstate="print"/>
        <a:stretch>
          <a:fillRect/>
        </a:stretch>
      </xdr:blipFill>
      <xdr:spPr>
        <a:prstGeom prst="rect">
          <a:avLst/>
        </a:prstGeom>
      </xdr:spPr>
    </xdr:pic>
    <xdr:clientData/>
  </xdr:oneCellAnchor>
  <xdr:oneCellAnchor>
    <xdr:from>
      <xdr:col>0</xdr:col>
      <xdr:colOff>0</xdr:colOff>
      <xdr:row>235</xdr:row>
      <xdr:rowOff>0</xdr:rowOff>
    </xdr:from>
    <xdr:ext cx="238125" cy="323850"/>
    <xdr:pic>
      <xdr:nvPicPr>
        <xdr:cNvPr id="202" name="Image 201" descr="Picture">
          <a:extLst>
            <a:ext uri="{FF2B5EF4-FFF2-40B4-BE49-F238E27FC236}">
              <a16:creationId xmlns:a16="http://schemas.microsoft.com/office/drawing/2014/main" id="{00000000-0008-0000-0F00-0000CA000000}"/>
            </a:ext>
          </a:extLst>
        </xdr:cNvPr>
        <xdr:cNvPicPr/>
      </xdr:nvPicPr>
      <xdr:blipFill>
        <a:blip xmlns:r="http://schemas.openxmlformats.org/officeDocument/2006/relationships" r:embed="rId58" cstate="print"/>
        <a:stretch>
          <a:fillRect/>
        </a:stretch>
      </xdr:blipFill>
      <xdr:spPr>
        <a:prstGeom prst="rect">
          <a:avLst/>
        </a:prstGeom>
      </xdr:spPr>
    </xdr:pic>
    <xdr:clientData/>
  </xdr:oneCellAnchor>
  <xdr:oneCellAnchor>
    <xdr:from>
      <xdr:col>0</xdr:col>
      <xdr:colOff>0</xdr:colOff>
      <xdr:row>236</xdr:row>
      <xdr:rowOff>0</xdr:rowOff>
    </xdr:from>
    <xdr:ext cx="180975" cy="323850"/>
    <xdr:pic>
      <xdr:nvPicPr>
        <xdr:cNvPr id="203" name="Image 202" descr="Picture">
          <a:extLst>
            <a:ext uri="{FF2B5EF4-FFF2-40B4-BE49-F238E27FC236}">
              <a16:creationId xmlns:a16="http://schemas.microsoft.com/office/drawing/2014/main" id="{00000000-0008-0000-0F00-0000CB000000}"/>
            </a:ext>
          </a:extLst>
        </xdr:cNvPr>
        <xdr:cNvPicPr/>
      </xdr:nvPicPr>
      <xdr:blipFill>
        <a:blip xmlns:r="http://schemas.openxmlformats.org/officeDocument/2006/relationships" r:embed="rId59" cstate="print"/>
        <a:stretch>
          <a:fillRect/>
        </a:stretch>
      </xdr:blipFill>
      <xdr:spPr>
        <a:prstGeom prst="rect">
          <a:avLst/>
        </a:prstGeom>
      </xdr:spPr>
    </xdr:pic>
    <xdr:clientData/>
  </xdr:oneCellAnchor>
  <xdr:oneCellAnchor>
    <xdr:from>
      <xdr:col>0</xdr:col>
      <xdr:colOff>0</xdr:colOff>
      <xdr:row>237</xdr:row>
      <xdr:rowOff>0</xdr:rowOff>
    </xdr:from>
    <xdr:ext cx="323850" cy="323850"/>
    <xdr:pic>
      <xdr:nvPicPr>
        <xdr:cNvPr id="204" name="Image 203" descr="Picture">
          <a:extLst>
            <a:ext uri="{FF2B5EF4-FFF2-40B4-BE49-F238E27FC236}">
              <a16:creationId xmlns:a16="http://schemas.microsoft.com/office/drawing/2014/main" id="{00000000-0008-0000-0F00-0000CC000000}"/>
            </a:ext>
          </a:extLst>
        </xdr:cNvPr>
        <xdr:cNvPicPr/>
      </xdr:nvPicPr>
      <xdr:blipFill>
        <a:blip xmlns:r="http://schemas.openxmlformats.org/officeDocument/2006/relationships" r:embed="rId60" cstate="print"/>
        <a:stretch>
          <a:fillRect/>
        </a:stretch>
      </xdr:blipFill>
      <xdr:spPr>
        <a:prstGeom prst="rect">
          <a:avLst/>
        </a:prstGeom>
      </xdr:spPr>
    </xdr:pic>
    <xdr:clientData/>
  </xdr:oneCellAnchor>
  <xdr:oneCellAnchor>
    <xdr:from>
      <xdr:col>0</xdr:col>
      <xdr:colOff>0</xdr:colOff>
      <xdr:row>238</xdr:row>
      <xdr:rowOff>0</xdr:rowOff>
    </xdr:from>
    <xdr:ext cx="314325" cy="323850"/>
    <xdr:pic>
      <xdr:nvPicPr>
        <xdr:cNvPr id="205" name="Image 204" descr="Picture">
          <a:extLst>
            <a:ext uri="{FF2B5EF4-FFF2-40B4-BE49-F238E27FC236}">
              <a16:creationId xmlns:a16="http://schemas.microsoft.com/office/drawing/2014/main" id="{00000000-0008-0000-0F00-0000CD000000}"/>
            </a:ext>
          </a:extLst>
        </xdr:cNvPr>
        <xdr:cNvPicPr/>
      </xdr:nvPicPr>
      <xdr:blipFill>
        <a:blip xmlns:r="http://schemas.openxmlformats.org/officeDocument/2006/relationships" r:embed="rId61" cstate="print"/>
        <a:stretch>
          <a:fillRect/>
        </a:stretch>
      </xdr:blipFill>
      <xdr:spPr>
        <a:prstGeom prst="rect">
          <a:avLst/>
        </a:prstGeom>
      </xdr:spPr>
    </xdr:pic>
    <xdr:clientData/>
  </xdr:oneCellAnchor>
  <xdr:oneCellAnchor>
    <xdr:from>
      <xdr:col>0</xdr:col>
      <xdr:colOff>0</xdr:colOff>
      <xdr:row>239</xdr:row>
      <xdr:rowOff>0</xdr:rowOff>
    </xdr:from>
    <xdr:ext cx="314325" cy="323850"/>
    <xdr:pic>
      <xdr:nvPicPr>
        <xdr:cNvPr id="206" name="Image 205" descr="Picture">
          <a:extLst>
            <a:ext uri="{FF2B5EF4-FFF2-40B4-BE49-F238E27FC236}">
              <a16:creationId xmlns:a16="http://schemas.microsoft.com/office/drawing/2014/main" id="{00000000-0008-0000-0F00-0000CE000000}"/>
            </a:ext>
          </a:extLst>
        </xdr:cNvPr>
        <xdr:cNvPicPr/>
      </xdr:nvPicPr>
      <xdr:blipFill>
        <a:blip xmlns:r="http://schemas.openxmlformats.org/officeDocument/2006/relationships" r:embed="rId62" cstate="print"/>
        <a:stretch>
          <a:fillRect/>
        </a:stretch>
      </xdr:blipFill>
      <xdr:spPr>
        <a:prstGeom prst="rect">
          <a:avLst/>
        </a:prstGeom>
      </xdr:spPr>
    </xdr:pic>
    <xdr:clientData/>
  </xdr:oneCellAnchor>
  <xdr:oneCellAnchor>
    <xdr:from>
      <xdr:col>0</xdr:col>
      <xdr:colOff>0</xdr:colOff>
      <xdr:row>240</xdr:row>
      <xdr:rowOff>0</xdr:rowOff>
    </xdr:from>
    <xdr:ext cx="323850" cy="323850"/>
    <xdr:pic>
      <xdr:nvPicPr>
        <xdr:cNvPr id="207" name="Image 206" descr="Picture">
          <a:extLst>
            <a:ext uri="{FF2B5EF4-FFF2-40B4-BE49-F238E27FC236}">
              <a16:creationId xmlns:a16="http://schemas.microsoft.com/office/drawing/2014/main" id="{00000000-0008-0000-0F00-0000CF000000}"/>
            </a:ext>
          </a:extLst>
        </xdr:cNvPr>
        <xdr:cNvPicPr/>
      </xdr:nvPicPr>
      <xdr:blipFill>
        <a:blip xmlns:r="http://schemas.openxmlformats.org/officeDocument/2006/relationships" r:embed="rId63" cstate="print"/>
        <a:stretch>
          <a:fillRect/>
        </a:stretch>
      </xdr:blipFill>
      <xdr:spPr>
        <a:prstGeom prst="rect">
          <a:avLst/>
        </a:prstGeom>
      </xdr:spPr>
    </xdr:pic>
    <xdr:clientData/>
  </xdr:oneCellAnchor>
  <xdr:oneCellAnchor>
    <xdr:from>
      <xdr:col>0</xdr:col>
      <xdr:colOff>0</xdr:colOff>
      <xdr:row>241</xdr:row>
      <xdr:rowOff>0</xdr:rowOff>
    </xdr:from>
    <xdr:ext cx="323850" cy="323850"/>
    <xdr:pic>
      <xdr:nvPicPr>
        <xdr:cNvPr id="208" name="Image 207" descr="Picture">
          <a:extLst>
            <a:ext uri="{FF2B5EF4-FFF2-40B4-BE49-F238E27FC236}">
              <a16:creationId xmlns:a16="http://schemas.microsoft.com/office/drawing/2014/main" id="{00000000-0008-0000-0F00-0000D0000000}"/>
            </a:ext>
          </a:extLst>
        </xdr:cNvPr>
        <xdr:cNvPicPr/>
      </xdr:nvPicPr>
      <xdr:blipFill>
        <a:blip xmlns:r="http://schemas.openxmlformats.org/officeDocument/2006/relationships" r:embed="rId67" cstate="print"/>
        <a:stretch>
          <a:fillRect/>
        </a:stretch>
      </xdr:blipFill>
      <xdr:spPr>
        <a:prstGeom prst="rect">
          <a:avLst/>
        </a:prstGeom>
      </xdr:spPr>
    </xdr:pic>
    <xdr:clientData/>
  </xdr:oneCellAnchor>
  <xdr:oneCellAnchor>
    <xdr:from>
      <xdr:col>0</xdr:col>
      <xdr:colOff>0</xdr:colOff>
      <xdr:row>242</xdr:row>
      <xdr:rowOff>0</xdr:rowOff>
    </xdr:from>
    <xdr:ext cx="323850" cy="190500"/>
    <xdr:pic>
      <xdr:nvPicPr>
        <xdr:cNvPr id="209" name="Image 208" descr="Picture">
          <a:extLst>
            <a:ext uri="{FF2B5EF4-FFF2-40B4-BE49-F238E27FC236}">
              <a16:creationId xmlns:a16="http://schemas.microsoft.com/office/drawing/2014/main" id="{00000000-0008-0000-0F00-0000D1000000}"/>
            </a:ext>
          </a:extLst>
        </xdr:cNvPr>
        <xdr:cNvPicPr/>
      </xdr:nvPicPr>
      <xdr:blipFill>
        <a:blip xmlns:r="http://schemas.openxmlformats.org/officeDocument/2006/relationships" r:embed="rId68" cstate="print"/>
        <a:stretch>
          <a:fillRect/>
        </a:stretch>
      </xdr:blipFill>
      <xdr:spPr>
        <a:prstGeom prst="rect">
          <a:avLst/>
        </a:prstGeom>
      </xdr:spPr>
    </xdr:pic>
    <xdr:clientData/>
  </xdr:oneCellAnchor>
  <xdr:oneCellAnchor>
    <xdr:from>
      <xdr:col>0</xdr:col>
      <xdr:colOff>0</xdr:colOff>
      <xdr:row>243</xdr:row>
      <xdr:rowOff>0</xdr:rowOff>
    </xdr:from>
    <xdr:ext cx="161925" cy="323850"/>
    <xdr:pic>
      <xdr:nvPicPr>
        <xdr:cNvPr id="210" name="Image 209" descr="Picture">
          <a:extLst>
            <a:ext uri="{FF2B5EF4-FFF2-40B4-BE49-F238E27FC236}">
              <a16:creationId xmlns:a16="http://schemas.microsoft.com/office/drawing/2014/main" id="{00000000-0008-0000-0F00-0000D2000000}"/>
            </a:ext>
          </a:extLst>
        </xdr:cNvPr>
        <xdr:cNvPicPr/>
      </xdr:nvPicPr>
      <xdr:blipFill>
        <a:blip xmlns:r="http://schemas.openxmlformats.org/officeDocument/2006/relationships" r:embed="rId66" cstate="print"/>
        <a:stretch>
          <a:fillRect/>
        </a:stretch>
      </xdr:blipFill>
      <xdr:spPr>
        <a:prstGeom prst="rect">
          <a:avLst/>
        </a:prstGeom>
      </xdr:spPr>
    </xdr:pic>
    <xdr:clientData/>
  </xdr:oneCellAnchor>
  <xdr:oneCellAnchor>
    <xdr:from>
      <xdr:col>0</xdr:col>
      <xdr:colOff>0</xdr:colOff>
      <xdr:row>244</xdr:row>
      <xdr:rowOff>0</xdr:rowOff>
    </xdr:from>
    <xdr:ext cx="323850" cy="323850"/>
    <xdr:pic>
      <xdr:nvPicPr>
        <xdr:cNvPr id="211" name="Image 210" descr="Picture">
          <a:extLst>
            <a:ext uri="{FF2B5EF4-FFF2-40B4-BE49-F238E27FC236}">
              <a16:creationId xmlns:a16="http://schemas.microsoft.com/office/drawing/2014/main" id="{00000000-0008-0000-0F00-0000D3000000}"/>
            </a:ext>
          </a:extLst>
        </xdr:cNvPr>
        <xdr:cNvPicPr/>
      </xdr:nvPicPr>
      <xdr:blipFill>
        <a:blip xmlns:r="http://schemas.openxmlformats.org/officeDocument/2006/relationships" r:embed="rId69" cstate="print"/>
        <a:stretch>
          <a:fillRect/>
        </a:stretch>
      </xdr:blipFill>
      <xdr:spPr>
        <a:prstGeom prst="rect">
          <a:avLst/>
        </a:prstGeom>
      </xdr:spPr>
    </xdr:pic>
    <xdr:clientData/>
  </xdr:oneCellAnchor>
  <xdr:oneCellAnchor>
    <xdr:from>
      <xdr:col>0</xdr:col>
      <xdr:colOff>0</xdr:colOff>
      <xdr:row>245</xdr:row>
      <xdr:rowOff>0</xdr:rowOff>
    </xdr:from>
    <xdr:ext cx="323850" cy="323850"/>
    <xdr:pic>
      <xdr:nvPicPr>
        <xdr:cNvPr id="212" name="Image 211" descr="Picture">
          <a:extLst>
            <a:ext uri="{FF2B5EF4-FFF2-40B4-BE49-F238E27FC236}">
              <a16:creationId xmlns:a16="http://schemas.microsoft.com/office/drawing/2014/main" id="{00000000-0008-0000-0F00-0000D4000000}"/>
            </a:ext>
          </a:extLst>
        </xdr:cNvPr>
        <xdr:cNvPicPr/>
      </xdr:nvPicPr>
      <xdr:blipFill>
        <a:blip xmlns:r="http://schemas.openxmlformats.org/officeDocument/2006/relationships" r:embed="rId70" cstate="print"/>
        <a:stretch>
          <a:fillRect/>
        </a:stretch>
      </xdr:blipFill>
      <xdr:spPr>
        <a:prstGeom prst="rect">
          <a:avLst/>
        </a:prstGeom>
      </xdr:spPr>
    </xdr:pic>
    <xdr:clientData/>
  </xdr:oneCellAnchor>
  <xdr:oneCellAnchor>
    <xdr:from>
      <xdr:col>0</xdr:col>
      <xdr:colOff>0</xdr:colOff>
      <xdr:row>249</xdr:row>
      <xdr:rowOff>0</xdr:rowOff>
    </xdr:from>
    <xdr:ext cx="247650" cy="247650"/>
    <xdr:pic>
      <xdr:nvPicPr>
        <xdr:cNvPr id="213" name="Image 212" descr="Picture">
          <a:extLst>
            <a:ext uri="{FF2B5EF4-FFF2-40B4-BE49-F238E27FC236}">
              <a16:creationId xmlns:a16="http://schemas.microsoft.com/office/drawing/2014/main" id="{00000000-0008-0000-0F00-0000D5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250</xdr:row>
      <xdr:rowOff>0</xdr:rowOff>
    </xdr:from>
    <xdr:ext cx="247650" cy="247650"/>
    <xdr:pic>
      <xdr:nvPicPr>
        <xdr:cNvPr id="214" name="Image 213" descr="Picture">
          <a:extLst>
            <a:ext uri="{FF2B5EF4-FFF2-40B4-BE49-F238E27FC236}">
              <a16:creationId xmlns:a16="http://schemas.microsoft.com/office/drawing/2014/main" id="{00000000-0008-0000-0F00-0000D6000000}"/>
            </a:ext>
          </a:extLst>
        </xdr:cNvPr>
        <xdr:cNvPicPr/>
      </xdr:nvPicPr>
      <xdr:blipFill>
        <a:blip xmlns:r="http://schemas.openxmlformats.org/officeDocument/2006/relationships" r:embed="rId55" cstate="print"/>
        <a:stretch>
          <a:fillRect/>
        </a:stretch>
      </xdr:blipFill>
      <xdr:spPr>
        <a:prstGeom prst="rect">
          <a:avLst/>
        </a:prstGeom>
      </xdr:spPr>
    </xdr:pic>
    <xdr:clientData/>
  </xdr:oneCellAnchor>
  <xdr:oneCellAnchor>
    <xdr:from>
      <xdr:col>0</xdr:col>
      <xdr:colOff>0</xdr:colOff>
      <xdr:row>251</xdr:row>
      <xdr:rowOff>0</xdr:rowOff>
    </xdr:from>
    <xdr:ext cx="247650" cy="247650"/>
    <xdr:pic>
      <xdr:nvPicPr>
        <xdr:cNvPr id="215" name="Image 214" descr="Picture">
          <a:extLst>
            <a:ext uri="{FF2B5EF4-FFF2-40B4-BE49-F238E27FC236}">
              <a16:creationId xmlns:a16="http://schemas.microsoft.com/office/drawing/2014/main" id="{00000000-0008-0000-0F00-0000D7000000}"/>
            </a:ext>
          </a:extLst>
        </xdr:cNvPr>
        <xdr:cNvPicPr/>
      </xdr:nvPicPr>
      <xdr:blipFill>
        <a:blip xmlns:r="http://schemas.openxmlformats.org/officeDocument/2006/relationships" r:embed="rId37" cstate="print"/>
        <a:stretch>
          <a:fillRect/>
        </a:stretch>
      </xdr:blipFill>
      <xdr:spPr>
        <a:prstGeom prst="rect">
          <a:avLst/>
        </a:prstGeom>
      </xdr:spPr>
    </xdr:pic>
    <xdr:clientData/>
  </xdr:oneCellAnchor>
  <xdr:oneCellAnchor>
    <xdr:from>
      <xdr:col>0</xdr:col>
      <xdr:colOff>0</xdr:colOff>
      <xdr:row>252</xdr:row>
      <xdr:rowOff>0</xdr:rowOff>
    </xdr:from>
    <xdr:ext cx="247650" cy="247650"/>
    <xdr:pic>
      <xdr:nvPicPr>
        <xdr:cNvPr id="216" name="Image 215" descr="Picture">
          <a:extLst>
            <a:ext uri="{FF2B5EF4-FFF2-40B4-BE49-F238E27FC236}">
              <a16:creationId xmlns:a16="http://schemas.microsoft.com/office/drawing/2014/main" id="{00000000-0008-0000-0F00-0000D8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oneCellAnchor>
    <xdr:from>
      <xdr:col>0</xdr:col>
      <xdr:colOff>0</xdr:colOff>
      <xdr:row>253</xdr:row>
      <xdr:rowOff>0</xdr:rowOff>
    </xdr:from>
    <xdr:ext cx="247650" cy="247650"/>
    <xdr:pic>
      <xdr:nvPicPr>
        <xdr:cNvPr id="217" name="Image 216" descr="Picture">
          <a:extLst>
            <a:ext uri="{FF2B5EF4-FFF2-40B4-BE49-F238E27FC236}">
              <a16:creationId xmlns:a16="http://schemas.microsoft.com/office/drawing/2014/main" id="{00000000-0008-0000-0F00-0000D9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oneCellAnchor>
    <xdr:from>
      <xdr:col>0</xdr:col>
      <xdr:colOff>0</xdr:colOff>
      <xdr:row>254</xdr:row>
      <xdr:rowOff>0</xdr:rowOff>
    </xdr:from>
    <xdr:ext cx="247650" cy="247650"/>
    <xdr:pic>
      <xdr:nvPicPr>
        <xdr:cNvPr id="218" name="Image 217" descr="Picture">
          <a:extLst>
            <a:ext uri="{FF2B5EF4-FFF2-40B4-BE49-F238E27FC236}">
              <a16:creationId xmlns:a16="http://schemas.microsoft.com/office/drawing/2014/main" id="{00000000-0008-0000-0F00-0000DA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255</xdr:row>
      <xdr:rowOff>0</xdr:rowOff>
    </xdr:from>
    <xdr:ext cx="247650" cy="247650"/>
    <xdr:pic>
      <xdr:nvPicPr>
        <xdr:cNvPr id="219" name="Image 218" descr="Picture">
          <a:extLst>
            <a:ext uri="{FF2B5EF4-FFF2-40B4-BE49-F238E27FC236}">
              <a16:creationId xmlns:a16="http://schemas.microsoft.com/office/drawing/2014/main" id="{00000000-0008-0000-0F00-0000DB000000}"/>
            </a:ext>
          </a:extLst>
        </xdr:cNvPr>
        <xdr:cNvPicPr/>
      </xdr:nvPicPr>
      <xdr:blipFill>
        <a:blip xmlns:r="http://schemas.openxmlformats.org/officeDocument/2006/relationships" r:embed="rId71" cstate="print"/>
        <a:stretch>
          <a:fillRect/>
        </a:stretch>
      </xdr:blipFill>
      <xdr:spPr>
        <a:prstGeom prst="rect">
          <a:avLst/>
        </a:prstGeom>
      </xdr:spPr>
    </xdr:pic>
    <xdr:clientData/>
  </xdr:oneCellAnchor>
  <xdr:oneCellAnchor>
    <xdr:from>
      <xdr:col>0</xdr:col>
      <xdr:colOff>0</xdr:colOff>
      <xdr:row>256</xdr:row>
      <xdr:rowOff>0</xdr:rowOff>
    </xdr:from>
    <xdr:ext cx="247650" cy="247650"/>
    <xdr:pic>
      <xdr:nvPicPr>
        <xdr:cNvPr id="220" name="Image 219" descr="Picture">
          <a:extLst>
            <a:ext uri="{FF2B5EF4-FFF2-40B4-BE49-F238E27FC236}">
              <a16:creationId xmlns:a16="http://schemas.microsoft.com/office/drawing/2014/main" id="{00000000-0008-0000-0F00-0000DC000000}"/>
            </a:ext>
          </a:extLst>
        </xdr:cNvPr>
        <xdr:cNvPicPr/>
      </xdr:nvPicPr>
      <xdr:blipFill>
        <a:blip xmlns:r="http://schemas.openxmlformats.org/officeDocument/2006/relationships" r:embed="rId72" cstate="print"/>
        <a:stretch>
          <a:fillRect/>
        </a:stretch>
      </xdr:blipFill>
      <xdr:spPr>
        <a:prstGeom prst="rect">
          <a:avLst/>
        </a:prstGeom>
      </xdr:spPr>
    </xdr:pic>
    <xdr:clientData/>
  </xdr:oneCellAnchor>
  <xdr:oneCellAnchor>
    <xdr:from>
      <xdr:col>0</xdr:col>
      <xdr:colOff>0</xdr:colOff>
      <xdr:row>257</xdr:row>
      <xdr:rowOff>0</xdr:rowOff>
    </xdr:from>
    <xdr:ext cx="247650" cy="247650"/>
    <xdr:pic>
      <xdr:nvPicPr>
        <xdr:cNvPr id="221" name="Image 220" descr="Picture">
          <a:extLst>
            <a:ext uri="{FF2B5EF4-FFF2-40B4-BE49-F238E27FC236}">
              <a16:creationId xmlns:a16="http://schemas.microsoft.com/office/drawing/2014/main" id="{00000000-0008-0000-0F00-0000DD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258</xdr:row>
      <xdr:rowOff>0</xdr:rowOff>
    </xdr:from>
    <xdr:ext cx="247650" cy="247650"/>
    <xdr:pic>
      <xdr:nvPicPr>
        <xdr:cNvPr id="222" name="Image 221" descr="Picture">
          <a:extLst>
            <a:ext uri="{FF2B5EF4-FFF2-40B4-BE49-F238E27FC236}">
              <a16:creationId xmlns:a16="http://schemas.microsoft.com/office/drawing/2014/main" id="{00000000-0008-0000-0F00-0000DE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259</xdr:row>
      <xdr:rowOff>0</xdr:rowOff>
    </xdr:from>
    <xdr:ext cx="247650" cy="247650"/>
    <xdr:pic>
      <xdr:nvPicPr>
        <xdr:cNvPr id="223" name="Image 222" descr="Picture">
          <a:extLst>
            <a:ext uri="{FF2B5EF4-FFF2-40B4-BE49-F238E27FC236}">
              <a16:creationId xmlns:a16="http://schemas.microsoft.com/office/drawing/2014/main" id="{00000000-0008-0000-0F00-0000DF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260</xdr:row>
      <xdr:rowOff>0</xdr:rowOff>
    </xdr:from>
    <xdr:ext cx="247650" cy="247650"/>
    <xdr:pic>
      <xdr:nvPicPr>
        <xdr:cNvPr id="224" name="Image 223" descr="Picture">
          <a:extLst>
            <a:ext uri="{FF2B5EF4-FFF2-40B4-BE49-F238E27FC236}">
              <a16:creationId xmlns:a16="http://schemas.microsoft.com/office/drawing/2014/main" id="{00000000-0008-0000-0F00-0000E0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261</xdr:row>
      <xdr:rowOff>0</xdr:rowOff>
    </xdr:from>
    <xdr:ext cx="247650" cy="247650"/>
    <xdr:pic>
      <xdr:nvPicPr>
        <xdr:cNvPr id="225" name="Image 224" descr="Picture">
          <a:extLst>
            <a:ext uri="{FF2B5EF4-FFF2-40B4-BE49-F238E27FC236}">
              <a16:creationId xmlns:a16="http://schemas.microsoft.com/office/drawing/2014/main" id="{00000000-0008-0000-0F00-0000E1000000}"/>
            </a:ext>
          </a:extLst>
        </xdr:cNvPr>
        <xdr:cNvPicPr/>
      </xdr:nvPicPr>
      <xdr:blipFill>
        <a:blip xmlns:r="http://schemas.openxmlformats.org/officeDocument/2006/relationships" r:embed="rId22" cstate="print"/>
        <a:stretch>
          <a:fillRect/>
        </a:stretch>
      </xdr:blipFill>
      <xdr:spPr>
        <a:prstGeom prst="rect">
          <a:avLst/>
        </a:prstGeom>
      </xdr:spPr>
    </xdr:pic>
    <xdr:clientData/>
  </xdr:oneCellAnchor>
  <xdr:oneCellAnchor>
    <xdr:from>
      <xdr:col>0</xdr:col>
      <xdr:colOff>0</xdr:colOff>
      <xdr:row>262</xdr:row>
      <xdr:rowOff>0</xdr:rowOff>
    </xdr:from>
    <xdr:ext cx="247650" cy="247650"/>
    <xdr:pic>
      <xdr:nvPicPr>
        <xdr:cNvPr id="226" name="Image 225" descr="Picture">
          <a:extLst>
            <a:ext uri="{FF2B5EF4-FFF2-40B4-BE49-F238E27FC236}">
              <a16:creationId xmlns:a16="http://schemas.microsoft.com/office/drawing/2014/main" id="{00000000-0008-0000-0F00-0000E2000000}"/>
            </a:ext>
          </a:extLst>
        </xdr:cNvPr>
        <xdr:cNvPicPr/>
      </xdr:nvPicPr>
      <xdr:blipFill>
        <a:blip xmlns:r="http://schemas.openxmlformats.org/officeDocument/2006/relationships" r:embed="rId42" cstate="print"/>
        <a:stretch>
          <a:fillRect/>
        </a:stretch>
      </xdr:blipFill>
      <xdr:spPr>
        <a:prstGeom prst="rect">
          <a:avLst/>
        </a:prstGeom>
      </xdr:spPr>
    </xdr:pic>
    <xdr:clientData/>
  </xdr:oneCellAnchor>
  <xdr:oneCellAnchor>
    <xdr:from>
      <xdr:col>0</xdr:col>
      <xdr:colOff>0</xdr:colOff>
      <xdr:row>264</xdr:row>
      <xdr:rowOff>0</xdr:rowOff>
    </xdr:from>
    <xdr:ext cx="161925" cy="323850"/>
    <xdr:pic>
      <xdr:nvPicPr>
        <xdr:cNvPr id="227" name="Image 226" descr="Picture">
          <a:extLst>
            <a:ext uri="{FF2B5EF4-FFF2-40B4-BE49-F238E27FC236}">
              <a16:creationId xmlns:a16="http://schemas.microsoft.com/office/drawing/2014/main" id="{00000000-0008-0000-0F00-0000E3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265</xdr:row>
      <xdr:rowOff>0</xdr:rowOff>
    </xdr:from>
    <xdr:ext cx="219075" cy="323850"/>
    <xdr:pic>
      <xdr:nvPicPr>
        <xdr:cNvPr id="228" name="Image 227" descr="Picture">
          <a:extLst>
            <a:ext uri="{FF2B5EF4-FFF2-40B4-BE49-F238E27FC236}">
              <a16:creationId xmlns:a16="http://schemas.microsoft.com/office/drawing/2014/main" id="{00000000-0008-0000-0F00-0000E4000000}"/>
            </a:ext>
          </a:extLst>
        </xdr:cNvPr>
        <xdr:cNvPicPr/>
      </xdr:nvPicPr>
      <xdr:blipFill>
        <a:blip xmlns:r="http://schemas.openxmlformats.org/officeDocument/2006/relationships" r:embed="rId56" cstate="print"/>
        <a:stretch>
          <a:fillRect/>
        </a:stretch>
      </xdr:blipFill>
      <xdr:spPr>
        <a:prstGeom prst="rect">
          <a:avLst/>
        </a:prstGeom>
      </xdr:spPr>
    </xdr:pic>
    <xdr:clientData/>
  </xdr:oneCellAnchor>
  <xdr:oneCellAnchor>
    <xdr:from>
      <xdr:col>0</xdr:col>
      <xdr:colOff>0</xdr:colOff>
      <xdr:row>266</xdr:row>
      <xdr:rowOff>0</xdr:rowOff>
    </xdr:from>
    <xdr:ext cx="323850" cy="323850"/>
    <xdr:pic>
      <xdr:nvPicPr>
        <xdr:cNvPr id="229" name="Image 228" descr="Picture">
          <a:extLst>
            <a:ext uri="{FF2B5EF4-FFF2-40B4-BE49-F238E27FC236}">
              <a16:creationId xmlns:a16="http://schemas.microsoft.com/office/drawing/2014/main" id="{00000000-0008-0000-0F00-0000E5000000}"/>
            </a:ext>
          </a:extLst>
        </xdr:cNvPr>
        <xdr:cNvPicPr/>
      </xdr:nvPicPr>
      <xdr:blipFill>
        <a:blip xmlns:r="http://schemas.openxmlformats.org/officeDocument/2006/relationships" r:embed="rId57" cstate="print"/>
        <a:stretch>
          <a:fillRect/>
        </a:stretch>
      </xdr:blipFill>
      <xdr:spPr>
        <a:prstGeom prst="rect">
          <a:avLst/>
        </a:prstGeom>
      </xdr:spPr>
    </xdr:pic>
    <xdr:clientData/>
  </xdr:oneCellAnchor>
  <xdr:oneCellAnchor>
    <xdr:from>
      <xdr:col>0</xdr:col>
      <xdr:colOff>0</xdr:colOff>
      <xdr:row>267</xdr:row>
      <xdr:rowOff>0</xdr:rowOff>
    </xdr:from>
    <xdr:ext cx="228600" cy="323850"/>
    <xdr:pic>
      <xdr:nvPicPr>
        <xdr:cNvPr id="230" name="Image 229" descr="Picture">
          <a:extLst>
            <a:ext uri="{FF2B5EF4-FFF2-40B4-BE49-F238E27FC236}">
              <a16:creationId xmlns:a16="http://schemas.microsoft.com/office/drawing/2014/main" id="{00000000-0008-0000-0F00-0000E6000000}"/>
            </a:ext>
          </a:extLst>
        </xdr:cNvPr>
        <xdr:cNvPicPr/>
      </xdr:nvPicPr>
      <xdr:blipFill>
        <a:blip xmlns:r="http://schemas.openxmlformats.org/officeDocument/2006/relationships" r:embed="rId73" cstate="print"/>
        <a:stretch>
          <a:fillRect/>
        </a:stretch>
      </xdr:blipFill>
      <xdr:spPr>
        <a:prstGeom prst="rect">
          <a:avLst/>
        </a:prstGeom>
      </xdr:spPr>
    </xdr:pic>
    <xdr:clientData/>
  </xdr:oneCellAnchor>
  <xdr:oneCellAnchor>
    <xdr:from>
      <xdr:col>0</xdr:col>
      <xdr:colOff>0</xdr:colOff>
      <xdr:row>268</xdr:row>
      <xdr:rowOff>0</xdr:rowOff>
    </xdr:from>
    <xdr:ext cx="180975" cy="323850"/>
    <xdr:pic>
      <xdr:nvPicPr>
        <xdr:cNvPr id="231" name="Image 230" descr="Picture">
          <a:extLst>
            <a:ext uri="{FF2B5EF4-FFF2-40B4-BE49-F238E27FC236}">
              <a16:creationId xmlns:a16="http://schemas.microsoft.com/office/drawing/2014/main" id="{00000000-0008-0000-0F00-0000E7000000}"/>
            </a:ext>
          </a:extLst>
        </xdr:cNvPr>
        <xdr:cNvPicPr/>
      </xdr:nvPicPr>
      <xdr:blipFill>
        <a:blip xmlns:r="http://schemas.openxmlformats.org/officeDocument/2006/relationships" r:embed="rId59" cstate="print"/>
        <a:stretch>
          <a:fillRect/>
        </a:stretch>
      </xdr:blipFill>
      <xdr:spPr>
        <a:prstGeom prst="rect">
          <a:avLst/>
        </a:prstGeom>
      </xdr:spPr>
    </xdr:pic>
    <xdr:clientData/>
  </xdr:oneCellAnchor>
  <xdr:oneCellAnchor>
    <xdr:from>
      <xdr:col>0</xdr:col>
      <xdr:colOff>0</xdr:colOff>
      <xdr:row>269</xdr:row>
      <xdr:rowOff>0</xdr:rowOff>
    </xdr:from>
    <xdr:ext cx="285750" cy="323850"/>
    <xdr:pic>
      <xdr:nvPicPr>
        <xdr:cNvPr id="232" name="Image 231" descr="Picture">
          <a:extLst>
            <a:ext uri="{FF2B5EF4-FFF2-40B4-BE49-F238E27FC236}">
              <a16:creationId xmlns:a16="http://schemas.microsoft.com/office/drawing/2014/main" id="{00000000-0008-0000-0F00-0000E8000000}"/>
            </a:ext>
          </a:extLst>
        </xdr:cNvPr>
        <xdr:cNvPicPr/>
      </xdr:nvPicPr>
      <xdr:blipFill>
        <a:blip xmlns:r="http://schemas.openxmlformats.org/officeDocument/2006/relationships" r:embed="rId74" cstate="print"/>
        <a:stretch>
          <a:fillRect/>
        </a:stretch>
      </xdr:blipFill>
      <xdr:spPr>
        <a:prstGeom prst="rect">
          <a:avLst/>
        </a:prstGeom>
      </xdr:spPr>
    </xdr:pic>
    <xdr:clientData/>
  </xdr:oneCellAnchor>
  <xdr:oneCellAnchor>
    <xdr:from>
      <xdr:col>0</xdr:col>
      <xdr:colOff>0</xdr:colOff>
      <xdr:row>270</xdr:row>
      <xdr:rowOff>0</xdr:rowOff>
    </xdr:from>
    <xdr:ext cx="228600" cy="323850"/>
    <xdr:pic>
      <xdr:nvPicPr>
        <xdr:cNvPr id="233" name="Image 232" descr="Picture">
          <a:extLst>
            <a:ext uri="{FF2B5EF4-FFF2-40B4-BE49-F238E27FC236}">
              <a16:creationId xmlns:a16="http://schemas.microsoft.com/office/drawing/2014/main" id="{00000000-0008-0000-0F00-0000E9000000}"/>
            </a:ext>
          </a:extLst>
        </xdr:cNvPr>
        <xdr:cNvPicPr/>
      </xdr:nvPicPr>
      <xdr:blipFill>
        <a:blip xmlns:r="http://schemas.openxmlformats.org/officeDocument/2006/relationships" r:embed="rId75" cstate="print"/>
        <a:stretch>
          <a:fillRect/>
        </a:stretch>
      </xdr:blipFill>
      <xdr:spPr>
        <a:prstGeom prst="rect">
          <a:avLst/>
        </a:prstGeom>
      </xdr:spPr>
    </xdr:pic>
    <xdr:clientData/>
  </xdr:oneCellAnchor>
  <xdr:oneCellAnchor>
    <xdr:from>
      <xdr:col>0</xdr:col>
      <xdr:colOff>0</xdr:colOff>
      <xdr:row>271</xdr:row>
      <xdr:rowOff>0</xdr:rowOff>
    </xdr:from>
    <xdr:ext cx="314325" cy="323850"/>
    <xdr:pic>
      <xdr:nvPicPr>
        <xdr:cNvPr id="234" name="Image 233" descr="Picture">
          <a:extLst>
            <a:ext uri="{FF2B5EF4-FFF2-40B4-BE49-F238E27FC236}">
              <a16:creationId xmlns:a16="http://schemas.microsoft.com/office/drawing/2014/main" id="{00000000-0008-0000-0F00-0000EA000000}"/>
            </a:ext>
          </a:extLst>
        </xdr:cNvPr>
        <xdr:cNvPicPr/>
      </xdr:nvPicPr>
      <xdr:blipFill>
        <a:blip xmlns:r="http://schemas.openxmlformats.org/officeDocument/2006/relationships" r:embed="rId62" cstate="print"/>
        <a:stretch>
          <a:fillRect/>
        </a:stretch>
      </xdr:blipFill>
      <xdr:spPr>
        <a:prstGeom prst="rect">
          <a:avLst/>
        </a:prstGeom>
      </xdr:spPr>
    </xdr:pic>
    <xdr:clientData/>
  </xdr:oneCellAnchor>
  <xdr:oneCellAnchor>
    <xdr:from>
      <xdr:col>0</xdr:col>
      <xdr:colOff>0</xdr:colOff>
      <xdr:row>272</xdr:row>
      <xdr:rowOff>0</xdr:rowOff>
    </xdr:from>
    <xdr:ext cx="323850" cy="323850"/>
    <xdr:pic>
      <xdr:nvPicPr>
        <xdr:cNvPr id="235" name="Image 234" descr="Picture">
          <a:extLst>
            <a:ext uri="{FF2B5EF4-FFF2-40B4-BE49-F238E27FC236}">
              <a16:creationId xmlns:a16="http://schemas.microsoft.com/office/drawing/2014/main" id="{00000000-0008-0000-0F00-0000EB000000}"/>
            </a:ext>
          </a:extLst>
        </xdr:cNvPr>
        <xdr:cNvPicPr/>
      </xdr:nvPicPr>
      <xdr:blipFill>
        <a:blip xmlns:r="http://schemas.openxmlformats.org/officeDocument/2006/relationships" r:embed="rId63" cstate="print"/>
        <a:stretch>
          <a:fillRect/>
        </a:stretch>
      </xdr:blipFill>
      <xdr:spPr>
        <a:prstGeom prst="rect">
          <a:avLst/>
        </a:prstGeom>
      </xdr:spPr>
    </xdr:pic>
    <xdr:clientData/>
  </xdr:oneCellAnchor>
  <xdr:oneCellAnchor>
    <xdr:from>
      <xdr:col>0</xdr:col>
      <xdr:colOff>0</xdr:colOff>
      <xdr:row>273</xdr:row>
      <xdr:rowOff>0</xdr:rowOff>
    </xdr:from>
    <xdr:ext cx="323850" cy="323850"/>
    <xdr:pic>
      <xdr:nvPicPr>
        <xdr:cNvPr id="236" name="Image 235" descr="Picture">
          <a:extLst>
            <a:ext uri="{FF2B5EF4-FFF2-40B4-BE49-F238E27FC236}">
              <a16:creationId xmlns:a16="http://schemas.microsoft.com/office/drawing/2014/main" id="{00000000-0008-0000-0F00-0000EC000000}"/>
            </a:ext>
          </a:extLst>
        </xdr:cNvPr>
        <xdr:cNvPicPr/>
      </xdr:nvPicPr>
      <xdr:blipFill>
        <a:blip xmlns:r="http://schemas.openxmlformats.org/officeDocument/2006/relationships" r:embed="rId76" cstate="print"/>
        <a:stretch>
          <a:fillRect/>
        </a:stretch>
      </xdr:blipFill>
      <xdr:spPr>
        <a:prstGeom prst="rect">
          <a:avLst/>
        </a:prstGeom>
      </xdr:spPr>
    </xdr:pic>
    <xdr:clientData/>
  </xdr:oneCellAnchor>
  <xdr:oneCellAnchor>
    <xdr:from>
      <xdr:col>0</xdr:col>
      <xdr:colOff>0</xdr:colOff>
      <xdr:row>274</xdr:row>
      <xdr:rowOff>0</xdr:rowOff>
    </xdr:from>
    <xdr:ext cx="323850" cy="152400"/>
    <xdr:pic>
      <xdr:nvPicPr>
        <xdr:cNvPr id="237" name="Image 236" descr="Picture">
          <a:extLst>
            <a:ext uri="{FF2B5EF4-FFF2-40B4-BE49-F238E27FC236}">
              <a16:creationId xmlns:a16="http://schemas.microsoft.com/office/drawing/2014/main" id="{00000000-0008-0000-0F00-0000ED000000}"/>
            </a:ext>
          </a:extLst>
        </xdr:cNvPr>
        <xdr:cNvPicPr/>
      </xdr:nvPicPr>
      <xdr:blipFill>
        <a:blip xmlns:r="http://schemas.openxmlformats.org/officeDocument/2006/relationships" r:embed="rId77" cstate="print"/>
        <a:stretch>
          <a:fillRect/>
        </a:stretch>
      </xdr:blipFill>
      <xdr:spPr>
        <a:prstGeom prst="rect">
          <a:avLst/>
        </a:prstGeom>
      </xdr:spPr>
    </xdr:pic>
    <xdr:clientData/>
  </xdr:oneCellAnchor>
  <xdr:oneCellAnchor>
    <xdr:from>
      <xdr:col>0</xdr:col>
      <xdr:colOff>0</xdr:colOff>
      <xdr:row>275</xdr:row>
      <xdr:rowOff>0</xdr:rowOff>
    </xdr:from>
    <xdr:ext cx="161925" cy="323850"/>
    <xdr:pic>
      <xdr:nvPicPr>
        <xdr:cNvPr id="238" name="Image 237" descr="Picture">
          <a:extLst>
            <a:ext uri="{FF2B5EF4-FFF2-40B4-BE49-F238E27FC236}">
              <a16:creationId xmlns:a16="http://schemas.microsoft.com/office/drawing/2014/main" id="{00000000-0008-0000-0F00-0000EE000000}"/>
            </a:ext>
          </a:extLst>
        </xdr:cNvPr>
        <xdr:cNvPicPr/>
      </xdr:nvPicPr>
      <xdr:blipFill>
        <a:blip xmlns:r="http://schemas.openxmlformats.org/officeDocument/2006/relationships" r:embed="rId66" cstate="print"/>
        <a:stretch>
          <a:fillRect/>
        </a:stretch>
      </xdr:blipFill>
      <xdr:spPr>
        <a:prstGeom prst="rect">
          <a:avLst/>
        </a:prstGeom>
      </xdr:spPr>
    </xdr:pic>
    <xdr:clientData/>
  </xdr:oneCellAnchor>
  <xdr:oneCellAnchor>
    <xdr:from>
      <xdr:col>0</xdr:col>
      <xdr:colOff>0</xdr:colOff>
      <xdr:row>276</xdr:row>
      <xdr:rowOff>0</xdr:rowOff>
    </xdr:from>
    <xdr:ext cx="323850" cy="323850"/>
    <xdr:pic>
      <xdr:nvPicPr>
        <xdr:cNvPr id="239" name="Image 238" descr="Picture">
          <a:extLst>
            <a:ext uri="{FF2B5EF4-FFF2-40B4-BE49-F238E27FC236}">
              <a16:creationId xmlns:a16="http://schemas.microsoft.com/office/drawing/2014/main" id="{00000000-0008-0000-0F00-0000EF000000}"/>
            </a:ext>
          </a:extLst>
        </xdr:cNvPr>
        <xdr:cNvPicPr/>
      </xdr:nvPicPr>
      <xdr:blipFill>
        <a:blip xmlns:r="http://schemas.openxmlformats.org/officeDocument/2006/relationships" r:embed="rId69" cstate="print"/>
        <a:stretch>
          <a:fillRect/>
        </a:stretch>
      </xdr:blipFill>
      <xdr:spPr>
        <a:prstGeom prst="rect">
          <a:avLst/>
        </a:prstGeom>
      </xdr:spPr>
    </xdr:pic>
    <xdr:clientData/>
  </xdr:oneCellAnchor>
  <xdr:oneCellAnchor>
    <xdr:from>
      <xdr:col>0</xdr:col>
      <xdr:colOff>0</xdr:colOff>
      <xdr:row>277</xdr:row>
      <xdr:rowOff>0</xdr:rowOff>
    </xdr:from>
    <xdr:ext cx="323850" cy="323850"/>
    <xdr:pic>
      <xdr:nvPicPr>
        <xdr:cNvPr id="240" name="Image 239" descr="Picture">
          <a:extLst>
            <a:ext uri="{FF2B5EF4-FFF2-40B4-BE49-F238E27FC236}">
              <a16:creationId xmlns:a16="http://schemas.microsoft.com/office/drawing/2014/main" id="{00000000-0008-0000-0F00-0000F0000000}"/>
            </a:ext>
          </a:extLst>
        </xdr:cNvPr>
        <xdr:cNvPicPr/>
      </xdr:nvPicPr>
      <xdr:blipFill>
        <a:blip xmlns:r="http://schemas.openxmlformats.org/officeDocument/2006/relationships" r:embed="rId70" cstate="print"/>
        <a:stretch>
          <a:fillRect/>
        </a:stretch>
      </xdr:blipFill>
      <xdr:spPr>
        <a:prstGeom prst="rect">
          <a:avLst/>
        </a:prstGeom>
      </xdr:spPr>
    </xdr:pic>
    <xdr:clientData/>
  </xdr:oneCellAnchor>
  <xdr:oneCellAnchor>
    <xdr:from>
      <xdr:col>0</xdr:col>
      <xdr:colOff>0</xdr:colOff>
      <xdr:row>278</xdr:row>
      <xdr:rowOff>0</xdr:rowOff>
    </xdr:from>
    <xdr:ext cx="323850" cy="323850"/>
    <xdr:pic>
      <xdr:nvPicPr>
        <xdr:cNvPr id="241" name="Image 240" descr="Picture">
          <a:extLst>
            <a:ext uri="{FF2B5EF4-FFF2-40B4-BE49-F238E27FC236}">
              <a16:creationId xmlns:a16="http://schemas.microsoft.com/office/drawing/2014/main" id="{00000000-0008-0000-0F00-0000F1000000}"/>
            </a:ext>
          </a:extLst>
        </xdr:cNvPr>
        <xdr:cNvPicPr/>
      </xdr:nvPicPr>
      <xdr:blipFill>
        <a:blip xmlns:r="http://schemas.openxmlformats.org/officeDocument/2006/relationships" r:embed="rId40" cstate="print"/>
        <a:stretch>
          <a:fillRect/>
        </a:stretch>
      </xdr:blipFill>
      <xdr:spPr>
        <a:prstGeom prst="rect">
          <a:avLst/>
        </a:prstGeom>
      </xdr:spPr>
    </xdr:pic>
    <xdr:clientData/>
  </xdr:oneCellAnchor>
  <xdr:oneCellAnchor>
    <xdr:from>
      <xdr:col>0</xdr:col>
      <xdr:colOff>0</xdr:colOff>
      <xdr:row>280</xdr:row>
      <xdr:rowOff>0</xdr:rowOff>
    </xdr:from>
    <xdr:ext cx="161925" cy="323850"/>
    <xdr:pic>
      <xdr:nvPicPr>
        <xdr:cNvPr id="242" name="Image 241" descr="Picture">
          <a:extLst>
            <a:ext uri="{FF2B5EF4-FFF2-40B4-BE49-F238E27FC236}">
              <a16:creationId xmlns:a16="http://schemas.microsoft.com/office/drawing/2014/main" id="{00000000-0008-0000-0F00-0000F2000000}"/>
            </a:ext>
          </a:extLst>
        </xdr:cNvPr>
        <xdr:cNvPicPr/>
      </xdr:nvPicPr>
      <xdr:blipFill>
        <a:blip xmlns:r="http://schemas.openxmlformats.org/officeDocument/2006/relationships" r:embed="rId32" cstate="print"/>
        <a:stretch>
          <a:fillRect/>
        </a:stretch>
      </xdr:blipFill>
      <xdr:spPr>
        <a:prstGeom prst="rect">
          <a:avLst/>
        </a:prstGeom>
      </xdr:spPr>
    </xdr:pic>
    <xdr:clientData/>
  </xdr:oneCellAnchor>
  <xdr:oneCellAnchor>
    <xdr:from>
      <xdr:col>0</xdr:col>
      <xdr:colOff>0</xdr:colOff>
      <xdr:row>281</xdr:row>
      <xdr:rowOff>0</xdr:rowOff>
    </xdr:from>
    <xdr:ext cx="219075" cy="323850"/>
    <xdr:pic>
      <xdr:nvPicPr>
        <xdr:cNvPr id="243" name="Image 242" descr="Picture">
          <a:extLst>
            <a:ext uri="{FF2B5EF4-FFF2-40B4-BE49-F238E27FC236}">
              <a16:creationId xmlns:a16="http://schemas.microsoft.com/office/drawing/2014/main" id="{00000000-0008-0000-0F00-0000F3000000}"/>
            </a:ext>
          </a:extLst>
        </xdr:cNvPr>
        <xdr:cNvPicPr/>
      </xdr:nvPicPr>
      <xdr:blipFill>
        <a:blip xmlns:r="http://schemas.openxmlformats.org/officeDocument/2006/relationships" r:embed="rId56" cstate="print"/>
        <a:stretch>
          <a:fillRect/>
        </a:stretch>
      </xdr:blipFill>
      <xdr:spPr>
        <a:prstGeom prst="rect">
          <a:avLst/>
        </a:prstGeom>
      </xdr:spPr>
    </xdr:pic>
    <xdr:clientData/>
  </xdr:oneCellAnchor>
  <xdr:oneCellAnchor>
    <xdr:from>
      <xdr:col>0</xdr:col>
      <xdr:colOff>0</xdr:colOff>
      <xdr:row>282</xdr:row>
      <xdr:rowOff>0</xdr:rowOff>
    </xdr:from>
    <xdr:ext cx="323850" cy="323850"/>
    <xdr:pic>
      <xdr:nvPicPr>
        <xdr:cNvPr id="244" name="Image 243" descr="Picture">
          <a:extLst>
            <a:ext uri="{FF2B5EF4-FFF2-40B4-BE49-F238E27FC236}">
              <a16:creationId xmlns:a16="http://schemas.microsoft.com/office/drawing/2014/main" id="{00000000-0008-0000-0F00-0000F4000000}"/>
            </a:ext>
          </a:extLst>
        </xdr:cNvPr>
        <xdr:cNvPicPr/>
      </xdr:nvPicPr>
      <xdr:blipFill>
        <a:blip xmlns:r="http://schemas.openxmlformats.org/officeDocument/2006/relationships" r:embed="rId57" cstate="print"/>
        <a:stretch>
          <a:fillRect/>
        </a:stretch>
      </xdr:blipFill>
      <xdr:spPr>
        <a:prstGeom prst="rect">
          <a:avLst/>
        </a:prstGeom>
      </xdr:spPr>
    </xdr:pic>
    <xdr:clientData/>
  </xdr:oneCellAnchor>
  <xdr:oneCellAnchor>
    <xdr:from>
      <xdr:col>0</xdr:col>
      <xdr:colOff>0</xdr:colOff>
      <xdr:row>283</xdr:row>
      <xdr:rowOff>0</xdr:rowOff>
    </xdr:from>
    <xdr:ext cx="228600" cy="323850"/>
    <xdr:pic>
      <xdr:nvPicPr>
        <xdr:cNvPr id="245" name="Image 244" descr="Picture">
          <a:extLst>
            <a:ext uri="{FF2B5EF4-FFF2-40B4-BE49-F238E27FC236}">
              <a16:creationId xmlns:a16="http://schemas.microsoft.com/office/drawing/2014/main" id="{00000000-0008-0000-0F00-0000F5000000}"/>
            </a:ext>
          </a:extLst>
        </xdr:cNvPr>
        <xdr:cNvPicPr/>
      </xdr:nvPicPr>
      <xdr:blipFill>
        <a:blip xmlns:r="http://schemas.openxmlformats.org/officeDocument/2006/relationships" r:embed="rId73" cstate="print"/>
        <a:stretch>
          <a:fillRect/>
        </a:stretch>
      </xdr:blipFill>
      <xdr:spPr>
        <a:prstGeom prst="rect">
          <a:avLst/>
        </a:prstGeom>
      </xdr:spPr>
    </xdr:pic>
    <xdr:clientData/>
  </xdr:oneCellAnchor>
  <xdr:oneCellAnchor>
    <xdr:from>
      <xdr:col>0</xdr:col>
      <xdr:colOff>0</xdr:colOff>
      <xdr:row>284</xdr:row>
      <xdr:rowOff>0</xdr:rowOff>
    </xdr:from>
    <xdr:ext cx="180975" cy="323850"/>
    <xdr:pic>
      <xdr:nvPicPr>
        <xdr:cNvPr id="246" name="Image 245" descr="Picture">
          <a:extLst>
            <a:ext uri="{FF2B5EF4-FFF2-40B4-BE49-F238E27FC236}">
              <a16:creationId xmlns:a16="http://schemas.microsoft.com/office/drawing/2014/main" id="{00000000-0008-0000-0F00-0000F6000000}"/>
            </a:ext>
          </a:extLst>
        </xdr:cNvPr>
        <xdr:cNvPicPr/>
      </xdr:nvPicPr>
      <xdr:blipFill>
        <a:blip xmlns:r="http://schemas.openxmlformats.org/officeDocument/2006/relationships" r:embed="rId59" cstate="print"/>
        <a:stretch>
          <a:fillRect/>
        </a:stretch>
      </xdr:blipFill>
      <xdr:spPr>
        <a:prstGeom prst="rect">
          <a:avLst/>
        </a:prstGeom>
      </xdr:spPr>
    </xdr:pic>
    <xdr:clientData/>
  </xdr:oneCellAnchor>
  <xdr:oneCellAnchor>
    <xdr:from>
      <xdr:col>0</xdr:col>
      <xdr:colOff>0</xdr:colOff>
      <xdr:row>285</xdr:row>
      <xdr:rowOff>0</xdr:rowOff>
    </xdr:from>
    <xdr:ext cx="285750" cy="323850"/>
    <xdr:pic>
      <xdr:nvPicPr>
        <xdr:cNvPr id="247" name="Image 246" descr="Picture">
          <a:extLst>
            <a:ext uri="{FF2B5EF4-FFF2-40B4-BE49-F238E27FC236}">
              <a16:creationId xmlns:a16="http://schemas.microsoft.com/office/drawing/2014/main" id="{00000000-0008-0000-0F00-0000F7000000}"/>
            </a:ext>
          </a:extLst>
        </xdr:cNvPr>
        <xdr:cNvPicPr/>
      </xdr:nvPicPr>
      <xdr:blipFill>
        <a:blip xmlns:r="http://schemas.openxmlformats.org/officeDocument/2006/relationships" r:embed="rId74" cstate="print"/>
        <a:stretch>
          <a:fillRect/>
        </a:stretch>
      </xdr:blipFill>
      <xdr:spPr>
        <a:prstGeom prst="rect">
          <a:avLst/>
        </a:prstGeom>
      </xdr:spPr>
    </xdr:pic>
    <xdr:clientData/>
  </xdr:oneCellAnchor>
  <xdr:oneCellAnchor>
    <xdr:from>
      <xdr:col>0</xdr:col>
      <xdr:colOff>0</xdr:colOff>
      <xdr:row>286</xdr:row>
      <xdr:rowOff>0</xdr:rowOff>
    </xdr:from>
    <xdr:ext cx="228600" cy="323850"/>
    <xdr:pic>
      <xdr:nvPicPr>
        <xdr:cNvPr id="248" name="Image 247" descr="Picture">
          <a:extLst>
            <a:ext uri="{FF2B5EF4-FFF2-40B4-BE49-F238E27FC236}">
              <a16:creationId xmlns:a16="http://schemas.microsoft.com/office/drawing/2014/main" id="{00000000-0008-0000-0F00-0000F8000000}"/>
            </a:ext>
          </a:extLst>
        </xdr:cNvPr>
        <xdr:cNvPicPr/>
      </xdr:nvPicPr>
      <xdr:blipFill>
        <a:blip xmlns:r="http://schemas.openxmlformats.org/officeDocument/2006/relationships" r:embed="rId75" cstate="print"/>
        <a:stretch>
          <a:fillRect/>
        </a:stretch>
      </xdr:blipFill>
      <xdr:spPr>
        <a:prstGeom prst="rect">
          <a:avLst/>
        </a:prstGeom>
      </xdr:spPr>
    </xdr:pic>
    <xdr:clientData/>
  </xdr:oneCellAnchor>
  <xdr:oneCellAnchor>
    <xdr:from>
      <xdr:col>0</xdr:col>
      <xdr:colOff>0</xdr:colOff>
      <xdr:row>287</xdr:row>
      <xdr:rowOff>0</xdr:rowOff>
    </xdr:from>
    <xdr:ext cx="314325" cy="323850"/>
    <xdr:pic>
      <xdr:nvPicPr>
        <xdr:cNvPr id="249" name="Image 248" descr="Picture">
          <a:extLst>
            <a:ext uri="{FF2B5EF4-FFF2-40B4-BE49-F238E27FC236}">
              <a16:creationId xmlns:a16="http://schemas.microsoft.com/office/drawing/2014/main" id="{00000000-0008-0000-0F00-0000F9000000}"/>
            </a:ext>
          </a:extLst>
        </xdr:cNvPr>
        <xdr:cNvPicPr/>
      </xdr:nvPicPr>
      <xdr:blipFill>
        <a:blip xmlns:r="http://schemas.openxmlformats.org/officeDocument/2006/relationships" r:embed="rId62" cstate="print"/>
        <a:stretch>
          <a:fillRect/>
        </a:stretch>
      </xdr:blipFill>
      <xdr:spPr>
        <a:prstGeom prst="rect">
          <a:avLst/>
        </a:prstGeom>
      </xdr:spPr>
    </xdr:pic>
    <xdr:clientData/>
  </xdr:oneCellAnchor>
  <xdr:oneCellAnchor>
    <xdr:from>
      <xdr:col>0</xdr:col>
      <xdr:colOff>0</xdr:colOff>
      <xdr:row>288</xdr:row>
      <xdr:rowOff>0</xdr:rowOff>
    </xdr:from>
    <xdr:ext cx="323850" cy="323850"/>
    <xdr:pic>
      <xdr:nvPicPr>
        <xdr:cNvPr id="250" name="Image 249" descr="Picture">
          <a:extLst>
            <a:ext uri="{FF2B5EF4-FFF2-40B4-BE49-F238E27FC236}">
              <a16:creationId xmlns:a16="http://schemas.microsoft.com/office/drawing/2014/main" id="{00000000-0008-0000-0F00-0000FA000000}"/>
            </a:ext>
          </a:extLst>
        </xdr:cNvPr>
        <xdr:cNvPicPr/>
      </xdr:nvPicPr>
      <xdr:blipFill>
        <a:blip xmlns:r="http://schemas.openxmlformats.org/officeDocument/2006/relationships" r:embed="rId63" cstate="print"/>
        <a:stretch>
          <a:fillRect/>
        </a:stretch>
      </xdr:blipFill>
      <xdr:spPr>
        <a:prstGeom prst="rect">
          <a:avLst/>
        </a:prstGeom>
      </xdr:spPr>
    </xdr:pic>
    <xdr:clientData/>
  </xdr:oneCellAnchor>
  <xdr:oneCellAnchor>
    <xdr:from>
      <xdr:col>0</xdr:col>
      <xdr:colOff>0</xdr:colOff>
      <xdr:row>289</xdr:row>
      <xdr:rowOff>0</xdr:rowOff>
    </xdr:from>
    <xdr:ext cx="323850" cy="323850"/>
    <xdr:pic>
      <xdr:nvPicPr>
        <xdr:cNvPr id="251" name="Image 250" descr="Picture">
          <a:extLst>
            <a:ext uri="{FF2B5EF4-FFF2-40B4-BE49-F238E27FC236}">
              <a16:creationId xmlns:a16="http://schemas.microsoft.com/office/drawing/2014/main" id="{00000000-0008-0000-0F00-0000FB000000}"/>
            </a:ext>
          </a:extLst>
        </xdr:cNvPr>
        <xdr:cNvPicPr/>
      </xdr:nvPicPr>
      <xdr:blipFill>
        <a:blip xmlns:r="http://schemas.openxmlformats.org/officeDocument/2006/relationships" r:embed="rId67" cstate="print"/>
        <a:stretch>
          <a:fillRect/>
        </a:stretch>
      </xdr:blipFill>
      <xdr:spPr>
        <a:prstGeom prst="rect">
          <a:avLst/>
        </a:prstGeom>
      </xdr:spPr>
    </xdr:pic>
    <xdr:clientData/>
  </xdr:oneCellAnchor>
  <xdr:oneCellAnchor>
    <xdr:from>
      <xdr:col>0</xdr:col>
      <xdr:colOff>0</xdr:colOff>
      <xdr:row>290</xdr:row>
      <xdr:rowOff>0</xdr:rowOff>
    </xdr:from>
    <xdr:ext cx="323850" cy="161925"/>
    <xdr:pic>
      <xdr:nvPicPr>
        <xdr:cNvPr id="252" name="Image 251" descr="Picture">
          <a:extLst>
            <a:ext uri="{FF2B5EF4-FFF2-40B4-BE49-F238E27FC236}">
              <a16:creationId xmlns:a16="http://schemas.microsoft.com/office/drawing/2014/main" id="{00000000-0008-0000-0F00-0000FC000000}"/>
            </a:ext>
          </a:extLst>
        </xdr:cNvPr>
        <xdr:cNvPicPr/>
      </xdr:nvPicPr>
      <xdr:blipFill>
        <a:blip xmlns:r="http://schemas.openxmlformats.org/officeDocument/2006/relationships" r:embed="rId78" cstate="print"/>
        <a:stretch>
          <a:fillRect/>
        </a:stretch>
      </xdr:blipFill>
      <xdr:spPr>
        <a:prstGeom prst="rect">
          <a:avLst/>
        </a:prstGeom>
      </xdr:spPr>
    </xdr:pic>
    <xdr:clientData/>
  </xdr:oneCellAnchor>
  <xdr:oneCellAnchor>
    <xdr:from>
      <xdr:col>0</xdr:col>
      <xdr:colOff>0</xdr:colOff>
      <xdr:row>291</xdr:row>
      <xdr:rowOff>0</xdr:rowOff>
    </xdr:from>
    <xdr:ext cx="161925" cy="323850"/>
    <xdr:pic>
      <xdr:nvPicPr>
        <xdr:cNvPr id="253" name="Image 252" descr="Picture">
          <a:extLst>
            <a:ext uri="{FF2B5EF4-FFF2-40B4-BE49-F238E27FC236}">
              <a16:creationId xmlns:a16="http://schemas.microsoft.com/office/drawing/2014/main" id="{00000000-0008-0000-0F00-0000FD000000}"/>
            </a:ext>
          </a:extLst>
        </xdr:cNvPr>
        <xdr:cNvPicPr/>
      </xdr:nvPicPr>
      <xdr:blipFill>
        <a:blip xmlns:r="http://schemas.openxmlformats.org/officeDocument/2006/relationships" r:embed="rId66" cstate="print"/>
        <a:stretch>
          <a:fillRect/>
        </a:stretch>
      </xdr:blipFill>
      <xdr:spPr>
        <a:prstGeom prst="rect">
          <a:avLst/>
        </a:prstGeom>
      </xdr:spPr>
    </xdr:pic>
    <xdr:clientData/>
  </xdr:oneCellAnchor>
  <xdr:oneCellAnchor>
    <xdr:from>
      <xdr:col>0</xdr:col>
      <xdr:colOff>0</xdr:colOff>
      <xdr:row>292</xdr:row>
      <xdr:rowOff>0</xdr:rowOff>
    </xdr:from>
    <xdr:ext cx="323850" cy="323850"/>
    <xdr:pic>
      <xdr:nvPicPr>
        <xdr:cNvPr id="254" name="Image 253" descr="Picture">
          <a:extLst>
            <a:ext uri="{FF2B5EF4-FFF2-40B4-BE49-F238E27FC236}">
              <a16:creationId xmlns:a16="http://schemas.microsoft.com/office/drawing/2014/main" id="{00000000-0008-0000-0F00-0000FE000000}"/>
            </a:ext>
          </a:extLst>
        </xdr:cNvPr>
        <xdr:cNvPicPr/>
      </xdr:nvPicPr>
      <xdr:blipFill>
        <a:blip xmlns:r="http://schemas.openxmlformats.org/officeDocument/2006/relationships" r:embed="rId70" cstate="print"/>
        <a:stretch>
          <a:fillRect/>
        </a:stretch>
      </xdr:blipFill>
      <xdr:spPr>
        <a:prstGeom prst="rect">
          <a:avLst/>
        </a:prstGeom>
      </xdr:spPr>
    </xdr:pic>
    <xdr:clientData/>
  </xdr:oneCellAnchor>
  <xdr:oneCellAnchor>
    <xdr:from>
      <xdr:col>0</xdr:col>
      <xdr:colOff>0</xdr:colOff>
      <xdr:row>293</xdr:row>
      <xdr:rowOff>0</xdr:rowOff>
    </xdr:from>
    <xdr:ext cx="323850" cy="323850"/>
    <xdr:pic>
      <xdr:nvPicPr>
        <xdr:cNvPr id="255" name="Image 254" descr="Picture">
          <a:extLst>
            <a:ext uri="{FF2B5EF4-FFF2-40B4-BE49-F238E27FC236}">
              <a16:creationId xmlns:a16="http://schemas.microsoft.com/office/drawing/2014/main" id="{00000000-0008-0000-0F00-0000FF000000}"/>
            </a:ext>
          </a:extLst>
        </xdr:cNvPr>
        <xdr:cNvPicPr/>
      </xdr:nvPicPr>
      <xdr:blipFill>
        <a:blip xmlns:r="http://schemas.openxmlformats.org/officeDocument/2006/relationships" r:embed="rId69" cstate="print"/>
        <a:stretch>
          <a:fillRect/>
        </a:stretch>
      </xdr:blipFill>
      <xdr:spPr>
        <a:prstGeom prst="rect">
          <a:avLst/>
        </a:prstGeom>
      </xdr:spPr>
    </xdr:pic>
    <xdr:clientData/>
  </xdr:oneCellAnchor>
  <xdr:oneCellAnchor>
    <xdr:from>
      <xdr:col>0</xdr:col>
      <xdr:colOff>0</xdr:colOff>
      <xdr:row>294</xdr:row>
      <xdr:rowOff>0</xdr:rowOff>
    </xdr:from>
    <xdr:ext cx="323850" cy="323850"/>
    <xdr:pic>
      <xdr:nvPicPr>
        <xdr:cNvPr id="256" name="Image 255" descr="Picture">
          <a:extLst>
            <a:ext uri="{FF2B5EF4-FFF2-40B4-BE49-F238E27FC236}">
              <a16:creationId xmlns:a16="http://schemas.microsoft.com/office/drawing/2014/main" id="{00000000-0008-0000-0F00-000000010000}"/>
            </a:ext>
          </a:extLst>
        </xdr:cNvPr>
        <xdr:cNvPicPr/>
      </xdr:nvPicPr>
      <xdr:blipFill>
        <a:blip xmlns:r="http://schemas.openxmlformats.org/officeDocument/2006/relationships" r:embed="rId79"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7.xml.rels><?xml version="1.0" encoding="UTF-8" standalone="yes"?>
<Relationships xmlns="http://schemas.openxmlformats.org/package/2006/relationships"><Relationship Id="rId8" Type="http://schemas.openxmlformats.org/officeDocument/2006/relationships/hyperlink" Target="https://poe2db.tw/us/Trusted_Kinship" TargetMode="External"/><Relationship Id="rId3" Type="http://schemas.openxmlformats.org/officeDocument/2006/relationships/hyperlink" Target="https://mobalytics.gg/poe-2/builds/companion-huntress-league-starter" TargetMode="External"/><Relationship Id="rId7" Type="http://schemas.openxmlformats.org/officeDocument/2006/relationships/hyperlink" Target="https://poe2db.tw/us/Darkness_Enthroned" TargetMode="External"/><Relationship Id="rId2" Type="http://schemas.openxmlformats.org/officeDocument/2006/relationships/hyperlink" Target="https://mobalytics.gg/poe-2/profile/mattjestic-multigaming/guides/new-0-4-ultra-rare-beast-companion-farming-guide" TargetMode="External"/><Relationship Id="rId1" Type="http://schemas.openxmlformats.org/officeDocument/2006/relationships/hyperlink" Target="https://mobalytics.gg/poe-2/builds/1-button-crossbow-amazon-mattjestic" TargetMode="External"/><Relationship Id="rId6" Type="http://schemas.openxmlformats.org/officeDocument/2006/relationships/hyperlink" Target="https://poe2db.tw/us/Spirit_Walker" TargetMode="External"/><Relationship Id="rId5" Type="http://schemas.openxmlformats.org/officeDocument/2006/relationships/hyperlink" Target="https://maxroll.gg/poe2/build-guides/companion-spirit-walker-build-guide" TargetMode="External"/><Relationship Id="rId10" Type="http://schemas.openxmlformats.org/officeDocument/2006/relationships/hyperlink" Target="https://www.poe-vault.com/poe2/huntress/spirit-walker/tamed-boss-beast-build-guide" TargetMode="External"/><Relationship Id="rId4" Type="http://schemas.openxmlformats.org/officeDocument/2006/relationships/hyperlink" Target="https://mobalytics.gg/poe-2/builds/zoo-companion-huntress-imortilize" TargetMode="External"/><Relationship Id="rId9" Type="http://schemas.openxmlformats.org/officeDocument/2006/relationships/hyperlink" Target="https://poe.ninja/poe2/builds/forbiddenrites?class=Spirit%20Walk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8E2B"/>
  </sheetPr>
  <dimension ref="A1:I42"/>
  <sheetViews>
    <sheetView showGridLines="0" tabSelected="1" workbookViewId="0">
      <pane ySplit="3" topLeftCell="A4" activePane="bottomLeft" state="frozen"/>
      <selection pane="bottomLeft" sqref="A1:I1"/>
    </sheetView>
  </sheetViews>
  <sheetFormatPr defaultRowHeight="15" x14ac:dyDescent="0.25"/>
  <cols>
    <col min="1" max="1" width="22" customWidth="1"/>
    <col min="2" max="9" width="18" customWidth="1"/>
  </cols>
  <sheetData>
    <row r="1" spans="1:9" ht="33.950000000000003" customHeight="1" x14ac:dyDescent="0.25">
      <c r="A1" s="59" t="s">
        <v>0</v>
      </c>
      <c r="B1" s="50"/>
      <c r="C1" s="50"/>
      <c r="D1" s="50"/>
      <c r="E1" s="50"/>
      <c r="F1" s="50"/>
      <c r="G1" s="50"/>
      <c r="H1" s="50"/>
      <c r="I1" s="50"/>
    </row>
    <row r="2" spans="1:9" ht="30" customHeight="1" x14ac:dyDescent="0.25">
      <c r="A2" s="49" t="s">
        <v>1</v>
      </c>
      <c r="B2" s="50"/>
      <c r="C2" s="50"/>
      <c r="D2" s="50"/>
      <c r="E2" s="50"/>
      <c r="F2" s="50"/>
      <c r="G2" s="50"/>
      <c r="H2" s="50"/>
      <c r="I2" s="50"/>
    </row>
    <row r="4" spans="1:9" ht="21.95" customHeight="1" x14ac:dyDescent="0.25">
      <c r="A4" s="52" t="s">
        <v>2</v>
      </c>
      <c r="B4" s="53"/>
      <c r="C4" s="53"/>
      <c r="D4" s="53"/>
      <c r="E4" s="53"/>
      <c r="F4" s="53"/>
      <c r="G4" s="53"/>
      <c r="H4" s="53"/>
      <c r="I4" s="53"/>
    </row>
    <row r="5" spans="1:9" ht="15.75" x14ac:dyDescent="0.25">
      <c r="A5" s="1" t="s">
        <v>3</v>
      </c>
      <c r="B5" s="2">
        <v>35</v>
      </c>
    </row>
    <row r="6" spans="1:9" ht="15.75" x14ac:dyDescent="0.25">
      <c r="A6" s="1" t="s">
        <v>4</v>
      </c>
      <c r="B6" s="2" t="s">
        <v>5</v>
      </c>
    </row>
    <row r="7" spans="1:9" ht="15.75" x14ac:dyDescent="0.25">
      <c r="A7" s="1" t="s">
        <v>6</v>
      </c>
      <c r="B7" s="2">
        <v>191</v>
      </c>
    </row>
    <row r="9" spans="1:9" ht="20.100000000000001" customHeight="1" x14ac:dyDescent="0.25">
      <c r="A9" s="3" t="s">
        <v>7</v>
      </c>
      <c r="B9" s="58" t="str">
        <f>INDEX(Listas!$B$2:$B$9,MATCH($B$5,Listas!$A$2:$A$9,1))</f>
        <v>Ato 3</v>
      </c>
      <c r="C9" s="47"/>
      <c r="D9" s="47"/>
      <c r="E9" s="47"/>
      <c r="F9" s="47"/>
      <c r="G9" s="47"/>
      <c r="H9" s="47"/>
      <c r="I9" s="47"/>
    </row>
    <row r="10" spans="1:9" ht="20.100000000000001" customHeight="1" x14ac:dyDescent="0.25">
      <c r="A10" s="3" t="s">
        <v>8</v>
      </c>
      <c r="B10" s="48" t="str">
        <f>INDEX(Listas!$E$2:$E$9,MATCH($B$5,Listas!$A$2:$A$9,1))</f>
        <v>A troca: macaco + esqueletos</v>
      </c>
      <c r="C10" s="47"/>
      <c r="D10" s="47"/>
      <c r="E10" s="47"/>
      <c r="F10" s="47"/>
      <c r="G10" s="47"/>
      <c r="H10" s="47"/>
      <c r="I10" s="47"/>
    </row>
    <row r="11" spans="1:9" ht="20.100000000000001" customHeight="1" x14ac:dyDescent="0.25">
      <c r="A11" s="3" t="s">
        <v>9</v>
      </c>
      <c r="B11" s="48" t="str">
        <f>INDEX(Listas!$C$2:$C$9,MATCH($B$5,Listas!$A$2:$A$9,1))</f>
        <v>Mighty Silverfist (+ urso + esqueletos)</v>
      </c>
      <c r="C11" s="47"/>
      <c r="D11" s="47"/>
      <c r="E11" s="47"/>
      <c r="F11" s="47"/>
      <c r="G11" s="47"/>
      <c r="H11" s="47"/>
      <c r="I11" s="47"/>
    </row>
    <row r="12" spans="1:9" ht="30" customHeight="1" x14ac:dyDescent="0.25">
      <c r="A12" s="3" t="s">
        <v>10</v>
      </c>
      <c r="B12" s="48" t="str">
        <f>INDEX(Listas!$D$2:$D$9,MATCH($B$5,Listas!$A$2:$A$9,1))</f>
        <v>Capturar o Mighty Silverfist com The Natural Order e trocar a build inteira para minions no mesmo dia: Twister sai, entram macaco, urso, Skeletal Warriors e Pain Offering.</v>
      </c>
      <c r="C12" s="47"/>
      <c r="D12" s="47"/>
      <c r="E12" s="47"/>
      <c r="F12" s="47"/>
      <c r="G12" s="47"/>
      <c r="H12" s="47"/>
      <c r="I12" s="47"/>
    </row>
    <row r="13" spans="1:9" ht="30" customHeight="1" x14ac:dyDescent="0.25">
      <c r="A13" s="3" t="s">
        <v>11</v>
      </c>
      <c r="B13" s="48" t="str">
        <f>IFERROR("Nv "&amp;INDEX('Nível 1-100'!$K$4:$K$103,$B$5)&amp;" — "&amp;INDEX('Nível 1-100'!$J$4:$J$103,$B$5),"")</f>
        <v>Nv 35 — TROCA: tire Twister/Whirling. Entram Skeletal Warrior + Pain Offering + Unearth.</v>
      </c>
      <c r="C13" s="47"/>
      <c r="D13" s="47"/>
      <c r="E13" s="47"/>
      <c r="F13" s="47"/>
      <c r="G13" s="47"/>
      <c r="H13" s="47"/>
      <c r="I13" s="47"/>
    </row>
    <row r="14" spans="1:9" ht="30" customHeight="1" x14ac:dyDescent="0.25">
      <c r="A14" s="3" t="s">
        <v>12</v>
      </c>
      <c r="B14" s="48" t="str">
        <f>IFERROR("Nv "&amp;INDEX('Nível 1-100'!$A$4:$A$103,MATCH(1,'Nível 1-100'!$I$4:$I$103,0))&amp;" — "&amp;INDEX('Nível 1-100'!$C$4:$C$103,MATCH(1,'Nível 1-100'!$I$4:$I$103,0)),"Você chegou ao fim!")</f>
        <v>Nv 40 — Azak Bog: Ignagduk (+30 Spirit). 2º beast de aura.</v>
      </c>
      <c r="C14" s="47"/>
      <c r="D14" s="47"/>
      <c r="E14" s="47"/>
      <c r="F14" s="47"/>
      <c r="G14" s="47"/>
      <c r="H14" s="47"/>
      <c r="I14" s="47"/>
    </row>
    <row r="15" spans="1:9" ht="30" customHeight="1" x14ac:dyDescent="0.25">
      <c r="A15" s="3" t="s">
        <v>13</v>
      </c>
      <c r="B15" s="48" t="str">
        <f>IF($B$6="Barato",INDEX('Nível 1-100'!$E$4:$E$103,$B$5),INDEX('Nível 1-100'!$F$4:$F$103,$B$5))</f>
        <v>Midnight Braid (cinto) · Foxshade/Wanderlust/Blackheart mantidos</v>
      </c>
      <c r="C15" s="47"/>
      <c r="D15" s="47"/>
      <c r="E15" s="47"/>
      <c r="F15" s="47"/>
      <c r="G15" s="47"/>
      <c r="H15" s="47"/>
      <c r="I15" s="47"/>
    </row>
    <row r="16" spans="1:9" ht="20.100000000000001" customHeight="1" x14ac:dyDescent="0.25">
      <c r="A16" s="3" t="s">
        <v>14</v>
      </c>
      <c r="B16" s="46">
        <f>IFERROR(COUNTIF('Nível 1-100'!$G$4:$G$103,"Feito")/100,0)</f>
        <v>0</v>
      </c>
      <c r="C16" s="47"/>
      <c r="D16" s="47"/>
      <c r="E16" s="47"/>
      <c r="F16" s="47"/>
      <c r="G16" s="47"/>
      <c r="H16" s="47"/>
      <c r="I16" s="47"/>
    </row>
    <row r="17" spans="1:9" ht="20.100000000000001" customHeight="1" x14ac:dyDescent="0.25">
      <c r="A17" s="3" t="s">
        <v>15</v>
      </c>
      <c r="B17" s="48" t="str">
        <f>COUNTIF(Quests!$F$4:$F$32,"Feito")&amp;" de "&amp;COUNTA(Quests!$C$4:$C$32)</f>
        <v>0 de 29</v>
      </c>
      <c r="C17" s="47"/>
      <c r="D17" s="47"/>
      <c r="E17" s="47"/>
      <c r="F17" s="47"/>
      <c r="G17" s="47"/>
      <c r="H17" s="47"/>
      <c r="I17" s="47"/>
    </row>
    <row r="19" spans="1:9" ht="21.95" customHeight="1" x14ac:dyDescent="0.25">
      <c r="A19" s="54" t="s">
        <v>16</v>
      </c>
      <c r="B19" s="55"/>
      <c r="C19" s="55"/>
      <c r="D19" s="55"/>
      <c r="E19" s="55"/>
      <c r="F19" s="55"/>
      <c r="G19" s="55"/>
      <c r="H19" s="55"/>
      <c r="I19" s="55"/>
    </row>
    <row r="20" spans="1:9" ht="21.95" customHeight="1" x14ac:dyDescent="0.25">
      <c r="A20" s="4" t="s">
        <v>17</v>
      </c>
      <c r="B20" s="4" t="s">
        <v>18</v>
      </c>
      <c r="C20" s="4" t="s">
        <v>8</v>
      </c>
      <c r="D20" s="4" t="s">
        <v>19</v>
      </c>
      <c r="E20" s="4" t="s">
        <v>20</v>
      </c>
      <c r="F20" s="4" t="s">
        <v>21</v>
      </c>
      <c r="G20" s="51" t="s">
        <v>22</v>
      </c>
      <c r="H20" s="44"/>
      <c r="I20" s="45"/>
    </row>
    <row r="21" spans="1:9" ht="44.1" customHeight="1" x14ac:dyDescent="0.25">
      <c r="A21" s="5" t="s">
        <v>23</v>
      </c>
      <c r="B21" s="6" t="s">
        <v>24</v>
      </c>
      <c r="C21" s="6" t="s">
        <v>25</v>
      </c>
      <c r="D21" s="6" t="s">
        <v>26</v>
      </c>
      <c r="E21" s="6" t="s">
        <v>27</v>
      </c>
      <c r="F21" s="6" t="s">
        <v>28</v>
      </c>
      <c r="G21" s="43" t="s">
        <v>29</v>
      </c>
      <c r="H21" s="44"/>
      <c r="I21" s="45"/>
    </row>
    <row r="22" spans="1:9" ht="44.1" customHeight="1" x14ac:dyDescent="0.25">
      <c r="A22" s="5" t="s">
        <v>30</v>
      </c>
      <c r="B22" s="6" t="s">
        <v>31</v>
      </c>
      <c r="C22" s="6" t="s">
        <v>32</v>
      </c>
      <c r="D22" s="6" t="s">
        <v>33</v>
      </c>
      <c r="E22" s="6" t="s">
        <v>34</v>
      </c>
      <c r="F22" s="6" t="s">
        <v>35</v>
      </c>
      <c r="G22" s="43" t="s">
        <v>36</v>
      </c>
      <c r="H22" s="44"/>
      <c r="I22" s="45"/>
    </row>
    <row r="23" spans="1:9" ht="44.1" customHeight="1" x14ac:dyDescent="0.25">
      <c r="A23" s="5" t="s">
        <v>37</v>
      </c>
      <c r="B23" s="6" t="s">
        <v>38</v>
      </c>
      <c r="C23" s="6" t="s">
        <v>39</v>
      </c>
      <c r="D23" s="6" t="s">
        <v>40</v>
      </c>
      <c r="E23" s="6" t="s">
        <v>41</v>
      </c>
      <c r="F23" s="6" t="s">
        <v>42</v>
      </c>
      <c r="G23" s="43" t="s">
        <v>43</v>
      </c>
      <c r="H23" s="44"/>
      <c r="I23" s="45"/>
    </row>
    <row r="24" spans="1:9" ht="44.1" customHeight="1" x14ac:dyDescent="0.25">
      <c r="A24" s="5" t="s">
        <v>44</v>
      </c>
      <c r="B24" s="6" t="s">
        <v>45</v>
      </c>
      <c r="C24" s="6" t="s">
        <v>46</v>
      </c>
      <c r="D24" s="6" t="s">
        <v>47</v>
      </c>
      <c r="E24" s="6" t="s">
        <v>48</v>
      </c>
      <c r="F24" s="6" t="s">
        <v>28</v>
      </c>
      <c r="G24" s="43" t="s">
        <v>49</v>
      </c>
      <c r="H24" s="44"/>
      <c r="I24" s="45"/>
    </row>
    <row r="25" spans="1:9" ht="44.1" customHeight="1" x14ac:dyDescent="0.25">
      <c r="A25" s="5" t="s">
        <v>50</v>
      </c>
      <c r="B25" s="6" t="s">
        <v>51</v>
      </c>
      <c r="C25" s="6" t="s">
        <v>52</v>
      </c>
      <c r="D25" s="6" t="s">
        <v>53</v>
      </c>
      <c r="E25" s="6" t="s">
        <v>48</v>
      </c>
      <c r="F25" s="6" t="s">
        <v>28</v>
      </c>
      <c r="G25" s="43" t="s">
        <v>54</v>
      </c>
      <c r="H25" s="44"/>
      <c r="I25" s="45"/>
    </row>
    <row r="26" spans="1:9" ht="44.1" customHeight="1" x14ac:dyDescent="0.25">
      <c r="A26" s="5" t="s">
        <v>55</v>
      </c>
      <c r="B26" s="6" t="s">
        <v>56</v>
      </c>
      <c r="C26" s="6" t="s">
        <v>57</v>
      </c>
      <c r="D26" s="6" t="s">
        <v>58</v>
      </c>
      <c r="E26" s="6" t="s">
        <v>48</v>
      </c>
      <c r="F26" s="6" t="s">
        <v>59</v>
      </c>
      <c r="G26" s="43" t="s">
        <v>60</v>
      </c>
      <c r="H26" s="44"/>
      <c r="I26" s="45"/>
    </row>
    <row r="27" spans="1:9" ht="44.1" customHeight="1" x14ac:dyDescent="0.25">
      <c r="A27" s="5" t="s">
        <v>61</v>
      </c>
      <c r="B27" s="6" t="s">
        <v>62</v>
      </c>
      <c r="C27" s="6" t="s">
        <v>63</v>
      </c>
      <c r="D27" s="6" t="s">
        <v>64</v>
      </c>
      <c r="E27" s="6" t="s">
        <v>48</v>
      </c>
      <c r="F27" s="6" t="s">
        <v>65</v>
      </c>
      <c r="G27" s="43" t="s">
        <v>66</v>
      </c>
      <c r="H27" s="44"/>
      <c r="I27" s="45"/>
    </row>
    <row r="28" spans="1:9" ht="44.1" customHeight="1" x14ac:dyDescent="0.25">
      <c r="A28" s="5" t="s">
        <v>67</v>
      </c>
      <c r="B28" s="6" t="s">
        <v>68</v>
      </c>
      <c r="C28" s="6" t="s">
        <v>69</v>
      </c>
      <c r="D28" s="6" t="s">
        <v>70</v>
      </c>
      <c r="E28" s="6" t="s">
        <v>48</v>
      </c>
      <c r="F28" s="6" t="s">
        <v>28</v>
      </c>
      <c r="G28" s="43" t="s">
        <v>71</v>
      </c>
      <c r="H28" s="44"/>
      <c r="I28" s="45"/>
    </row>
    <row r="30" spans="1:9" ht="21.95" customHeight="1" x14ac:dyDescent="0.25">
      <c r="A30" s="56" t="s">
        <v>72</v>
      </c>
      <c r="B30" s="57"/>
      <c r="C30" s="57"/>
      <c r="D30" s="57"/>
      <c r="E30" s="57"/>
      <c r="F30" s="57"/>
      <c r="G30" s="57"/>
      <c r="H30" s="57"/>
      <c r="I30" s="57"/>
    </row>
    <row r="31" spans="1:9" x14ac:dyDescent="0.25">
      <c r="A31" s="41" t="s">
        <v>73</v>
      </c>
      <c r="B31" s="42"/>
      <c r="C31" s="42"/>
      <c r="D31" s="42"/>
      <c r="E31" s="42"/>
      <c r="F31" s="42"/>
      <c r="G31" s="42"/>
      <c r="H31" s="42"/>
      <c r="I31" s="42"/>
    </row>
    <row r="32" spans="1:9" x14ac:dyDescent="0.25">
      <c r="A32" s="41" t="s">
        <v>74</v>
      </c>
      <c r="B32" s="42"/>
      <c r="C32" s="42"/>
      <c r="D32" s="42"/>
      <c r="E32" s="42"/>
      <c r="F32" s="42"/>
      <c r="G32" s="42"/>
      <c r="H32" s="42"/>
      <c r="I32" s="42"/>
    </row>
    <row r="33" spans="1:9" x14ac:dyDescent="0.25">
      <c r="A33" s="41" t="s">
        <v>75</v>
      </c>
      <c r="B33" s="42"/>
      <c r="C33" s="42"/>
      <c r="D33" s="42"/>
      <c r="E33" s="42"/>
      <c r="F33" s="42"/>
      <c r="G33" s="42"/>
      <c r="H33" s="42"/>
      <c r="I33" s="42"/>
    </row>
    <row r="34" spans="1:9" x14ac:dyDescent="0.25">
      <c r="A34" s="41" t="s">
        <v>76</v>
      </c>
      <c r="B34" s="42"/>
      <c r="C34" s="42"/>
      <c r="D34" s="42"/>
      <c r="E34" s="42"/>
      <c r="F34" s="42"/>
      <c r="G34" s="42"/>
      <c r="H34" s="42"/>
      <c r="I34" s="42"/>
    </row>
    <row r="35" spans="1:9" x14ac:dyDescent="0.25">
      <c r="A35" s="41" t="s">
        <v>77</v>
      </c>
      <c r="B35" s="42"/>
      <c r="C35" s="42"/>
      <c r="D35" s="42"/>
      <c r="E35" s="42"/>
      <c r="F35" s="42"/>
      <c r="G35" s="42"/>
      <c r="H35" s="42"/>
      <c r="I35" s="42"/>
    </row>
    <row r="36" spans="1:9" x14ac:dyDescent="0.25">
      <c r="A36" s="41" t="s">
        <v>78</v>
      </c>
      <c r="B36" s="42"/>
      <c r="C36" s="42"/>
      <c r="D36" s="42"/>
      <c r="E36" s="42"/>
      <c r="F36" s="42"/>
      <c r="G36" s="42"/>
      <c r="H36" s="42"/>
      <c r="I36" s="42"/>
    </row>
    <row r="37" spans="1:9" x14ac:dyDescent="0.25">
      <c r="A37" s="41" t="s">
        <v>79</v>
      </c>
      <c r="B37" s="42"/>
      <c r="C37" s="42"/>
      <c r="D37" s="42"/>
      <c r="E37" s="42"/>
      <c r="F37" s="42"/>
      <c r="G37" s="42"/>
      <c r="H37" s="42"/>
      <c r="I37" s="42"/>
    </row>
    <row r="38" spans="1:9" x14ac:dyDescent="0.25">
      <c r="A38" s="41" t="s">
        <v>80</v>
      </c>
      <c r="B38" s="42"/>
      <c r="C38" s="42"/>
      <c r="D38" s="42"/>
      <c r="E38" s="42"/>
      <c r="F38" s="42"/>
      <c r="G38" s="42"/>
      <c r="H38" s="42"/>
      <c r="I38" s="42"/>
    </row>
    <row r="39" spans="1:9" x14ac:dyDescent="0.25">
      <c r="A39" s="41" t="s">
        <v>81</v>
      </c>
      <c r="B39" s="42"/>
      <c r="C39" s="42"/>
      <c r="D39" s="42"/>
      <c r="E39" s="42"/>
      <c r="F39" s="42"/>
      <c r="G39" s="42"/>
      <c r="H39" s="42"/>
      <c r="I39" s="42"/>
    </row>
    <row r="40" spans="1:9" x14ac:dyDescent="0.25">
      <c r="A40" s="41" t="s">
        <v>82</v>
      </c>
      <c r="B40" s="42"/>
      <c r="C40" s="42"/>
      <c r="D40" s="42"/>
      <c r="E40" s="42"/>
      <c r="F40" s="42"/>
      <c r="G40" s="42"/>
      <c r="H40" s="42"/>
      <c r="I40" s="42"/>
    </row>
    <row r="41" spans="1:9" x14ac:dyDescent="0.25">
      <c r="A41" s="41" t="s">
        <v>83</v>
      </c>
      <c r="B41" s="42"/>
      <c r="C41" s="42"/>
      <c r="D41" s="42"/>
      <c r="E41" s="42"/>
      <c r="F41" s="42"/>
      <c r="G41" s="42"/>
      <c r="H41" s="42"/>
      <c r="I41" s="42"/>
    </row>
    <row r="42" spans="1:9" x14ac:dyDescent="0.25">
      <c r="A42" s="41" t="s">
        <v>84</v>
      </c>
      <c r="B42" s="42"/>
      <c r="C42" s="42"/>
      <c r="D42" s="42"/>
      <c r="E42" s="42"/>
      <c r="F42" s="42"/>
      <c r="G42" s="42"/>
      <c r="H42" s="42"/>
      <c r="I42" s="42"/>
    </row>
  </sheetData>
  <mergeCells count="35">
    <mergeCell ref="A1:I1"/>
    <mergeCell ref="B9:I9"/>
    <mergeCell ref="B15:I15"/>
    <mergeCell ref="G27:I27"/>
    <mergeCell ref="A36:I36"/>
    <mergeCell ref="G23:I23"/>
    <mergeCell ref="B10:I10"/>
    <mergeCell ref="A40:I40"/>
    <mergeCell ref="A31:I31"/>
    <mergeCell ref="A39:I39"/>
    <mergeCell ref="A34:I34"/>
    <mergeCell ref="G21:I21"/>
    <mergeCell ref="A30:I30"/>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A41:I41"/>
    <mergeCell ref="G28:I28"/>
    <mergeCell ref="A37:I37"/>
    <mergeCell ref="B16:I16"/>
    <mergeCell ref="B12:I12"/>
    <mergeCell ref="G24:I24"/>
  </mergeCells>
  <conditionalFormatting sqref="A21:I28">
    <cfRule type="expression" dxfId="15" priority="2">
      <formula>$A21=$B$9</formula>
    </cfRule>
  </conditionalFormatting>
  <conditionalFormatting sqref="B16">
    <cfRule type="dataBar" priority="1">
      <dataBar>
        <cfvo type="num" val="0"/>
        <cfvo type="num" val="1"/>
        <color rgb="FF3E9E86"/>
      </dataBar>
    </cfRule>
  </conditionalFormatting>
  <dataValidations count="1">
    <dataValidation type="whole" showErrorMessage="1" errorTitle="Nível" error="Digite um nível de 1 a 100." sqref="B5" xr:uid="{00000000-0002-0000-0000-000000000000}">
      <formula1>1</formula1>
      <formula2>100</formula2>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xr:uid="{00000000-0002-0000-0000-000001000000}">
          <x14:formula1>
            <xm:f>Listas!$J$2:$J$3</xm:f>
          </x14:formula1>
          <xm:sqref>B6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
  <sheetViews>
    <sheetView workbookViewId="0"/>
  </sheetViews>
  <sheetFormatPr defaultRowHeight="15" x14ac:dyDescent="0.25"/>
  <sheetData>
    <row r="1" spans="1:12" x14ac:dyDescent="0.25">
      <c r="A1" t="s">
        <v>85</v>
      </c>
      <c r="B1" t="s">
        <v>17</v>
      </c>
      <c r="C1" t="s">
        <v>19</v>
      </c>
      <c r="D1" t="s">
        <v>86</v>
      </c>
      <c r="E1" t="s">
        <v>87</v>
      </c>
      <c r="F1" t="s">
        <v>21</v>
      </c>
      <c r="H1" t="s">
        <v>88</v>
      </c>
      <c r="I1" t="s">
        <v>89</v>
      </c>
      <c r="J1" t="s">
        <v>90</v>
      </c>
      <c r="K1" t="s">
        <v>91</v>
      </c>
      <c r="L1" t="s">
        <v>92</v>
      </c>
    </row>
    <row r="2" spans="1:12" x14ac:dyDescent="0.25">
      <c r="A2">
        <v>1</v>
      </c>
      <c r="B2" t="s">
        <v>23</v>
      </c>
      <c r="C2" t="s">
        <v>26</v>
      </c>
      <c r="D2" t="s">
        <v>93</v>
      </c>
      <c r="E2" t="s">
        <v>25</v>
      </c>
      <c r="F2" t="s">
        <v>28</v>
      </c>
      <c r="H2" t="s">
        <v>94</v>
      </c>
      <c r="I2" t="s">
        <v>95</v>
      </c>
      <c r="J2" t="s">
        <v>5</v>
      </c>
      <c r="K2" t="s">
        <v>96</v>
      </c>
      <c r="L2" t="s">
        <v>97</v>
      </c>
    </row>
    <row r="3" spans="1:12" x14ac:dyDescent="0.25">
      <c r="A3">
        <v>16</v>
      </c>
      <c r="B3" t="s">
        <v>30</v>
      </c>
      <c r="C3" t="s">
        <v>33</v>
      </c>
      <c r="D3" t="s">
        <v>98</v>
      </c>
      <c r="E3" t="s">
        <v>32</v>
      </c>
      <c r="F3" t="s">
        <v>35</v>
      </c>
      <c r="H3" t="s">
        <v>99</v>
      </c>
      <c r="I3" t="s">
        <v>100</v>
      </c>
      <c r="J3" t="s">
        <v>101</v>
      </c>
      <c r="K3" t="s">
        <v>102</v>
      </c>
      <c r="L3" t="s">
        <v>103</v>
      </c>
    </row>
    <row r="4" spans="1:12" x14ac:dyDescent="0.25">
      <c r="A4">
        <v>31</v>
      </c>
      <c r="B4" t="s">
        <v>37</v>
      </c>
      <c r="C4" t="s">
        <v>40</v>
      </c>
      <c r="D4" t="s">
        <v>104</v>
      </c>
      <c r="E4" t="s">
        <v>39</v>
      </c>
      <c r="F4" t="s">
        <v>42</v>
      </c>
      <c r="H4" t="s">
        <v>105</v>
      </c>
    </row>
    <row r="5" spans="1:12" x14ac:dyDescent="0.25">
      <c r="A5">
        <v>46</v>
      </c>
      <c r="B5" t="s">
        <v>44</v>
      </c>
      <c r="C5" t="s">
        <v>47</v>
      </c>
      <c r="D5" t="s">
        <v>106</v>
      </c>
      <c r="E5" t="s">
        <v>46</v>
      </c>
      <c r="F5" t="s">
        <v>28</v>
      </c>
    </row>
    <row r="6" spans="1:12" x14ac:dyDescent="0.25">
      <c r="A6">
        <v>56</v>
      </c>
      <c r="B6" t="s">
        <v>50</v>
      </c>
      <c r="C6" t="s">
        <v>53</v>
      </c>
      <c r="D6" t="s">
        <v>107</v>
      </c>
      <c r="E6" t="s">
        <v>52</v>
      </c>
      <c r="F6" t="s">
        <v>28</v>
      </c>
    </row>
    <row r="7" spans="1:12" x14ac:dyDescent="0.25">
      <c r="A7">
        <v>65</v>
      </c>
      <c r="B7" t="s">
        <v>55</v>
      </c>
      <c r="C7" t="s">
        <v>58</v>
      </c>
      <c r="D7" t="s">
        <v>108</v>
      </c>
      <c r="E7" t="s">
        <v>57</v>
      </c>
      <c r="F7" t="s">
        <v>59</v>
      </c>
    </row>
    <row r="8" spans="1:12" x14ac:dyDescent="0.25">
      <c r="A8">
        <v>78</v>
      </c>
      <c r="B8" t="s">
        <v>61</v>
      </c>
      <c r="C8" t="s">
        <v>64</v>
      </c>
      <c r="D8" t="s">
        <v>109</v>
      </c>
      <c r="E8" t="s">
        <v>63</v>
      </c>
      <c r="F8" t="s">
        <v>65</v>
      </c>
    </row>
    <row r="9" spans="1:12" x14ac:dyDescent="0.25">
      <c r="A9">
        <v>90</v>
      </c>
      <c r="B9" t="s">
        <v>67</v>
      </c>
      <c r="C9" t="s">
        <v>70</v>
      </c>
      <c r="D9" t="s">
        <v>110</v>
      </c>
      <c r="E9" t="s">
        <v>69</v>
      </c>
      <c r="F9" t="s">
        <v>28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E9E86"/>
  </sheetPr>
  <dimension ref="A1:K103"/>
  <sheetViews>
    <sheetView showGridLines="0" workbookViewId="0">
      <pane xSplit="2" ySplit="3" topLeftCell="C4" activePane="bottomRight" state="frozen"/>
      <selection pane="topRight"/>
      <selection pane="bottomLeft"/>
      <selection pane="bottomRight"/>
    </sheetView>
  </sheetViews>
  <sheetFormatPr defaultRowHeight="15" x14ac:dyDescent="0.25"/>
  <cols>
    <col min="1" max="1" width="7" customWidth="1"/>
    <col min="2" max="2" width="16" customWidth="1"/>
    <col min="3" max="3" width="52" customWidth="1"/>
    <col min="4" max="6" width="40" customWidth="1"/>
    <col min="7" max="7" width="12" customWidth="1"/>
    <col min="8" max="8" width="22" customWidth="1"/>
    <col min="9" max="9" width="6" hidden="1" customWidth="1"/>
    <col min="10" max="11" width="13" hidden="1" customWidth="1"/>
  </cols>
  <sheetData>
    <row r="1" spans="1:11" ht="33.950000000000003" customHeight="1" x14ac:dyDescent="0.25">
      <c r="A1" s="59" t="s">
        <v>111</v>
      </c>
      <c r="B1" s="50"/>
      <c r="C1" s="50"/>
      <c r="D1" s="50"/>
      <c r="E1" s="50"/>
      <c r="F1" s="50"/>
      <c r="G1" s="50"/>
      <c r="H1" s="50"/>
    </row>
    <row r="2" spans="1:11" ht="30" customHeight="1" x14ac:dyDescent="0.25">
      <c r="A2" s="49" t="s">
        <v>112</v>
      </c>
      <c r="B2" s="50"/>
      <c r="C2" s="50"/>
      <c r="D2" s="50"/>
      <c r="E2" s="50"/>
      <c r="F2" s="50"/>
      <c r="G2" s="50"/>
      <c r="H2" s="50"/>
    </row>
    <row r="3" spans="1:11" ht="21.95" customHeight="1" x14ac:dyDescent="0.25">
      <c r="A3" s="4" t="s">
        <v>113</v>
      </c>
      <c r="B3" s="4" t="s">
        <v>17</v>
      </c>
      <c r="C3" s="4" t="s">
        <v>114</v>
      </c>
      <c r="D3" s="4" t="s">
        <v>115</v>
      </c>
      <c r="E3" s="4" t="s">
        <v>116</v>
      </c>
      <c r="F3" s="4" t="s">
        <v>117</v>
      </c>
      <c r="G3" s="4" t="s">
        <v>88</v>
      </c>
      <c r="H3" s="4" t="s">
        <v>19</v>
      </c>
      <c r="I3" s="4" t="s">
        <v>118</v>
      </c>
    </row>
    <row r="4" spans="1:11" ht="78.95" customHeight="1" x14ac:dyDescent="0.25">
      <c r="A4" s="7">
        <v>1</v>
      </c>
      <c r="B4" s="6" t="s">
        <v>23</v>
      </c>
      <c r="C4" s="5" t="s">
        <v>119</v>
      </c>
      <c r="D4" s="6" t="s">
        <v>93</v>
      </c>
      <c r="E4" s="6" t="s">
        <v>120</v>
      </c>
      <c r="F4" s="6" t="s">
        <v>121</v>
      </c>
      <c r="G4" s="7" t="s">
        <v>94</v>
      </c>
      <c r="H4" s="6" t="s">
        <v>26</v>
      </c>
      <c r="I4" s="8">
        <f>IF(AND(C4&lt;&gt;"—",A4&gt;INÍCIO!$B$5),1,0)</f>
        <v>0</v>
      </c>
      <c r="J4" t="str">
        <f>C4</f>
        <v>Twister + Whirling Slash. Spear rare ou Splinter of Lorrata.</v>
      </c>
      <c r="K4">
        <f>A4</f>
        <v>1</v>
      </c>
    </row>
    <row r="5" spans="1:11" ht="33.950000000000003" customHeight="1" x14ac:dyDescent="0.25">
      <c r="A5" s="9">
        <v>2</v>
      </c>
      <c r="B5" s="10" t="s">
        <v>23</v>
      </c>
      <c r="C5" s="10" t="s">
        <v>28</v>
      </c>
      <c r="D5" s="10" t="s">
        <v>122</v>
      </c>
      <c r="E5" s="10" t="s">
        <v>123</v>
      </c>
      <c r="F5" s="10" t="s">
        <v>124</v>
      </c>
      <c r="G5" s="9" t="s">
        <v>94</v>
      </c>
      <c r="H5" s="10" t="s">
        <v>26</v>
      </c>
      <c r="I5" s="8">
        <f>IF(AND(C5&lt;&gt;"—",A5&gt;INÍCIO!$B$5),1,0)</f>
        <v>0</v>
      </c>
      <c r="J5" t="str">
        <f t="shared" ref="J5:J36" si="0">IF(C5&lt;&gt;"—",C5,J4)</f>
        <v>Twister + Whirling Slash. Spear rare ou Splinter of Lorrata.</v>
      </c>
      <c r="K5">
        <f t="shared" ref="K5:K36" si="1">IF(C5&lt;&gt;"—",A5,K4)</f>
        <v>1</v>
      </c>
    </row>
    <row r="6" spans="1:11" ht="78.95" customHeight="1" x14ac:dyDescent="0.25">
      <c r="A6" s="7">
        <v>3</v>
      </c>
      <c r="B6" s="6" t="s">
        <v>23</v>
      </c>
      <c r="C6" s="6" t="s">
        <v>28</v>
      </c>
      <c r="D6" s="6" t="s">
        <v>122</v>
      </c>
      <c r="E6" s="6" t="s">
        <v>125</v>
      </c>
      <c r="F6" s="6" t="s">
        <v>121</v>
      </c>
      <c r="G6" s="7" t="s">
        <v>94</v>
      </c>
      <c r="H6" s="6" t="s">
        <v>26</v>
      </c>
      <c r="I6" s="8">
        <f>IF(AND(C6&lt;&gt;"—",A6&gt;INÍCIO!$B$5),1,0)</f>
        <v>0</v>
      </c>
      <c r="J6" t="str">
        <f t="shared" si="0"/>
        <v>Twister + Whirling Slash. Spear rare ou Splinter of Lorrata.</v>
      </c>
      <c r="K6">
        <f t="shared" si="1"/>
        <v>1</v>
      </c>
    </row>
    <row r="7" spans="1:11" ht="33.950000000000003" customHeight="1" x14ac:dyDescent="0.25">
      <c r="A7" s="9">
        <v>4</v>
      </c>
      <c r="B7" s="10" t="s">
        <v>23</v>
      </c>
      <c r="C7" s="11" t="s">
        <v>126</v>
      </c>
      <c r="D7" s="10" t="s">
        <v>122</v>
      </c>
      <c r="E7" s="10" t="s">
        <v>120</v>
      </c>
      <c r="F7" s="10" t="s">
        <v>124</v>
      </c>
      <c r="G7" s="9" t="s">
        <v>94</v>
      </c>
      <c r="H7" s="10" t="s">
        <v>26</v>
      </c>
      <c r="I7" s="8">
        <f>IF(AND(C7&lt;&gt;"—",A7&gt;INÍCIO!$B$5),1,0)</f>
        <v>0</v>
      </c>
      <c r="J7" t="str">
        <f t="shared" si="0"/>
        <v>Twister liberado. Herald of Ice quando tiver Spirit.</v>
      </c>
      <c r="K7">
        <f t="shared" si="1"/>
        <v>4</v>
      </c>
    </row>
    <row r="8" spans="1:11" ht="78.95" customHeight="1" x14ac:dyDescent="0.25">
      <c r="A8" s="7">
        <v>5</v>
      </c>
      <c r="B8" s="6" t="s">
        <v>23</v>
      </c>
      <c r="C8" s="6" t="s">
        <v>28</v>
      </c>
      <c r="D8" s="6" t="s">
        <v>122</v>
      </c>
      <c r="E8" s="6" t="s">
        <v>123</v>
      </c>
      <c r="F8" s="6" t="s">
        <v>121</v>
      </c>
      <c r="G8" s="7" t="s">
        <v>94</v>
      </c>
      <c r="H8" s="6" t="s">
        <v>26</v>
      </c>
      <c r="I8" s="8">
        <f>IF(AND(C8&lt;&gt;"—",A8&gt;INÍCIO!$B$5),1,0)</f>
        <v>0</v>
      </c>
      <c r="J8" t="str">
        <f t="shared" si="0"/>
        <v>Twister liberado. Herald of Ice quando tiver Spirit.</v>
      </c>
      <c r="K8">
        <f t="shared" si="1"/>
        <v>4</v>
      </c>
    </row>
    <row r="9" spans="1:11" ht="33.950000000000003" customHeight="1" x14ac:dyDescent="0.25">
      <c r="A9" s="9">
        <v>6</v>
      </c>
      <c r="B9" s="10" t="s">
        <v>23</v>
      </c>
      <c r="C9" s="10" t="s">
        <v>28</v>
      </c>
      <c r="D9" s="10" t="s">
        <v>122</v>
      </c>
      <c r="E9" s="10" t="s">
        <v>125</v>
      </c>
      <c r="F9" s="10" t="s">
        <v>124</v>
      </c>
      <c r="G9" s="9" t="s">
        <v>94</v>
      </c>
      <c r="H9" s="10" t="s">
        <v>26</v>
      </c>
      <c r="I9" s="8">
        <f>IF(AND(C9&lt;&gt;"—",A9&gt;INÍCIO!$B$5),1,0)</f>
        <v>0</v>
      </c>
      <c r="J9" t="str">
        <f t="shared" si="0"/>
        <v>Twister liberado. Herald of Ice quando tiver Spirit.</v>
      </c>
      <c r="K9">
        <f t="shared" si="1"/>
        <v>4</v>
      </c>
    </row>
    <row r="10" spans="1:11" ht="78.95" customHeight="1" x14ac:dyDescent="0.25">
      <c r="A10" s="7">
        <v>7</v>
      </c>
      <c r="B10" s="6" t="s">
        <v>23</v>
      </c>
      <c r="C10" s="6" t="s">
        <v>28</v>
      </c>
      <c r="D10" s="6" t="s">
        <v>122</v>
      </c>
      <c r="E10" s="6" t="s">
        <v>120</v>
      </c>
      <c r="F10" s="6" t="s">
        <v>121</v>
      </c>
      <c r="G10" s="7" t="s">
        <v>94</v>
      </c>
      <c r="H10" s="6" t="s">
        <v>26</v>
      </c>
      <c r="I10" s="8">
        <f>IF(AND(C10&lt;&gt;"—",A10&gt;INÍCIO!$B$5),1,0)</f>
        <v>0</v>
      </c>
      <c r="J10" t="str">
        <f t="shared" si="0"/>
        <v>Twister liberado. Herald of Ice quando tiver Spirit.</v>
      </c>
      <c r="K10">
        <f t="shared" si="1"/>
        <v>4</v>
      </c>
    </row>
    <row r="11" spans="1:11" ht="33.950000000000003" customHeight="1" x14ac:dyDescent="0.25">
      <c r="A11" s="9">
        <v>8</v>
      </c>
      <c r="B11" s="10" t="s">
        <v>23</v>
      </c>
      <c r="C11" s="11" t="s">
        <v>127</v>
      </c>
      <c r="D11" s="10" t="s">
        <v>122</v>
      </c>
      <c r="E11" s="10" t="s">
        <v>123</v>
      </c>
      <c r="F11" s="10" t="s">
        <v>124</v>
      </c>
      <c r="G11" s="9" t="s">
        <v>94</v>
      </c>
      <c r="H11" s="10" t="s">
        <v>26</v>
      </c>
      <c r="I11" s="8">
        <f>IF(AND(C11&lt;&gt;"—",A11&gt;INÍCIO!$B$5),1,0)</f>
        <v>0</v>
      </c>
      <c r="J11" t="str">
        <f t="shared" si="0"/>
        <v>Hunting Grounds: The Crowbell (2 weapon set points).</v>
      </c>
      <c r="K11">
        <f t="shared" si="1"/>
        <v>8</v>
      </c>
    </row>
    <row r="12" spans="1:11" ht="78.95" customHeight="1" x14ac:dyDescent="0.25">
      <c r="A12" s="7">
        <v>9</v>
      </c>
      <c r="B12" s="6" t="s">
        <v>23</v>
      </c>
      <c r="C12" s="6" t="s">
        <v>28</v>
      </c>
      <c r="D12" s="6" t="s">
        <v>122</v>
      </c>
      <c r="E12" s="6" t="s">
        <v>125</v>
      </c>
      <c r="F12" s="6" t="s">
        <v>121</v>
      </c>
      <c r="G12" s="7" t="s">
        <v>94</v>
      </c>
      <c r="H12" s="6" t="s">
        <v>26</v>
      </c>
      <c r="I12" s="8">
        <f>IF(AND(C12&lt;&gt;"—",A12&gt;INÍCIO!$B$5),1,0)</f>
        <v>0</v>
      </c>
      <c r="J12" t="str">
        <f t="shared" si="0"/>
        <v>Hunting Grounds: The Crowbell (2 weapon set points).</v>
      </c>
      <c r="K12">
        <f t="shared" si="1"/>
        <v>8</v>
      </c>
    </row>
    <row r="13" spans="1:11" ht="33.950000000000003" customHeight="1" x14ac:dyDescent="0.25">
      <c r="A13" s="9">
        <v>10</v>
      </c>
      <c r="B13" s="10" t="s">
        <v>23</v>
      </c>
      <c r="C13" s="11" t="s">
        <v>128</v>
      </c>
      <c r="D13" s="10" t="s">
        <v>122</v>
      </c>
      <c r="E13" s="10" t="s">
        <v>120</v>
      </c>
      <c r="F13" s="10" t="s">
        <v>124</v>
      </c>
      <c r="G13" s="9" t="s">
        <v>94</v>
      </c>
      <c r="H13" s="10" t="s">
        <v>26</v>
      </c>
      <c r="I13" s="8">
        <f>IF(AND(C13&lt;&gt;"—",A13&gt;INÍCIO!$B$5),1,0)</f>
        <v>0</v>
      </c>
      <c r="J13" t="str">
        <f t="shared" si="0"/>
        <v>Freythorn: King in the Mists (+30 Spirit).</v>
      </c>
      <c r="K13">
        <f t="shared" si="1"/>
        <v>10</v>
      </c>
    </row>
    <row r="14" spans="1:11" ht="78.95" customHeight="1" x14ac:dyDescent="0.25">
      <c r="A14" s="7">
        <v>11</v>
      </c>
      <c r="B14" s="6" t="s">
        <v>23</v>
      </c>
      <c r="C14" s="6" t="s">
        <v>28</v>
      </c>
      <c r="D14" s="6" t="s">
        <v>122</v>
      </c>
      <c r="E14" s="6" t="s">
        <v>123</v>
      </c>
      <c r="F14" s="6" t="s">
        <v>121</v>
      </c>
      <c r="G14" s="7" t="s">
        <v>94</v>
      </c>
      <c r="H14" s="6" t="s">
        <v>26</v>
      </c>
      <c r="I14" s="8">
        <f>IF(AND(C14&lt;&gt;"—",A14&gt;INÍCIO!$B$5),1,0)</f>
        <v>0</v>
      </c>
      <c r="J14" t="str">
        <f t="shared" si="0"/>
        <v>Freythorn: King in the Mists (+30 Spirit).</v>
      </c>
      <c r="K14">
        <f t="shared" si="1"/>
        <v>10</v>
      </c>
    </row>
    <row r="15" spans="1:11" ht="33.950000000000003" customHeight="1" x14ac:dyDescent="0.25">
      <c r="A15" s="9">
        <v>12</v>
      </c>
      <c r="B15" s="10" t="s">
        <v>23</v>
      </c>
      <c r="C15" s="10" t="s">
        <v>28</v>
      </c>
      <c r="D15" s="10" t="s">
        <v>122</v>
      </c>
      <c r="E15" s="10" t="s">
        <v>125</v>
      </c>
      <c r="F15" s="10" t="s">
        <v>124</v>
      </c>
      <c r="G15" s="9" t="s">
        <v>94</v>
      </c>
      <c r="H15" s="10" t="s">
        <v>26</v>
      </c>
      <c r="I15" s="8">
        <f>IF(AND(C15&lt;&gt;"—",A15&gt;INÍCIO!$B$5),1,0)</f>
        <v>0</v>
      </c>
      <c r="J15" t="str">
        <f t="shared" si="0"/>
        <v>Freythorn: King in the Mists (+30 Spirit).</v>
      </c>
      <c r="K15">
        <f t="shared" si="1"/>
        <v>10</v>
      </c>
    </row>
    <row r="16" spans="1:11" ht="78.95" customHeight="1" x14ac:dyDescent="0.25">
      <c r="A16" s="7">
        <v>13</v>
      </c>
      <c r="B16" s="6" t="s">
        <v>23</v>
      </c>
      <c r="C16" s="6" t="s">
        <v>28</v>
      </c>
      <c r="D16" s="6" t="s">
        <v>122</v>
      </c>
      <c r="E16" s="6" t="s">
        <v>120</v>
      </c>
      <c r="F16" s="6" t="s">
        <v>121</v>
      </c>
      <c r="G16" s="7" t="s">
        <v>94</v>
      </c>
      <c r="H16" s="6" t="s">
        <v>26</v>
      </c>
      <c r="I16" s="8">
        <f>IF(AND(C16&lt;&gt;"—",A16&gt;INÍCIO!$B$5),1,0)</f>
        <v>0</v>
      </c>
      <c r="J16" t="str">
        <f t="shared" si="0"/>
        <v>Freythorn: King in the Mists (+30 Spirit).</v>
      </c>
      <c r="K16">
        <f t="shared" si="1"/>
        <v>10</v>
      </c>
    </row>
    <row r="17" spans="1:11" ht="33.950000000000003" customHeight="1" x14ac:dyDescent="0.25">
      <c r="A17" s="9">
        <v>14</v>
      </c>
      <c r="B17" s="10" t="s">
        <v>23</v>
      </c>
      <c r="C17" s="11" t="s">
        <v>129</v>
      </c>
      <c r="D17" s="10" t="s">
        <v>122</v>
      </c>
      <c r="E17" s="10" t="s">
        <v>123</v>
      </c>
      <c r="F17" s="10" t="s">
        <v>124</v>
      </c>
      <c r="G17" s="9" t="s">
        <v>94</v>
      </c>
      <c r="H17" s="10" t="s">
        <v>26</v>
      </c>
      <c r="I17" s="8">
        <f>IF(AND(C17&lt;&gt;"—",A17&gt;INÍCIO!$B$5),1,0)</f>
        <v>0</v>
      </c>
      <c r="J17" t="str">
        <f t="shared" si="0"/>
        <v>Ogham Manor: Candlemass (+20 vida).</v>
      </c>
      <c r="K17">
        <f t="shared" si="1"/>
        <v>14</v>
      </c>
    </row>
    <row r="18" spans="1:11" ht="78.95" customHeight="1" x14ac:dyDescent="0.25">
      <c r="A18" s="7">
        <v>15</v>
      </c>
      <c r="B18" s="6" t="s">
        <v>23</v>
      </c>
      <c r="C18" s="6" t="s">
        <v>28</v>
      </c>
      <c r="D18" s="6" t="s">
        <v>122</v>
      </c>
      <c r="E18" s="6" t="s">
        <v>125</v>
      </c>
      <c r="F18" s="6" t="s">
        <v>121</v>
      </c>
      <c r="G18" s="7" t="s">
        <v>94</v>
      </c>
      <c r="H18" s="6" t="s">
        <v>26</v>
      </c>
      <c r="I18" s="8">
        <f>IF(AND(C18&lt;&gt;"—",A18&gt;INÍCIO!$B$5),1,0)</f>
        <v>0</v>
      </c>
      <c r="J18" t="str">
        <f t="shared" si="0"/>
        <v>Ogham Manor: Candlemass (+20 vida).</v>
      </c>
      <c r="K18">
        <f t="shared" si="1"/>
        <v>14</v>
      </c>
    </row>
    <row r="19" spans="1:11" ht="48.95" customHeight="1" x14ac:dyDescent="0.25">
      <c r="A19" s="9">
        <v>16</v>
      </c>
      <c r="B19" s="10" t="s">
        <v>30</v>
      </c>
      <c r="C19" s="11" t="s">
        <v>130</v>
      </c>
      <c r="D19" s="10" t="s">
        <v>98</v>
      </c>
      <c r="E19" s="10" t="s">
        <v>131</v>
      </c>
      <c r="F19" s="10" t="s">
        <v>132</v>
      </c>
      <c r="G19" s="9" t="s">
        <v>94</v>
      </c>
      <c r="H19" s="10" t="s">
        <v>33</v>
      </c>
      <c r="I19" s="8">
        <f>IF(AND(C19&lt;&gt;"—",A19&gt;INÍCIO!$B$5),1,0)</f>
        <v>0</v>
      </c>
      <c r="J19" t="str">
        <f t="shared" si="0"/>
        <v>Skysliver (spear) se for no modo completo.</v>
      </c>
      <c r="K19">
        <f t="shared" si="1"/>
        <v>16</v>
      </c>
    </row>
    <row r="20" spans="1:11" ht="63.95" customHeight="1" x14ac:dyDescent="0.25">
      <c r="A20" s="7">
        <v>17</v>
      </c>
      <c r="B20" s="6" t="s">
        <v>30</v>
      </c>
      <c r="C20" s="6" t="s">
        <v>28</v>
      </c>
      <c r="D20" s="6" t="s">
        <v>133</v>
      </c>
      <c r="E20" s="6" t="s">
        <v>134</v>
      </c>
      <c r="F20" s="6" t="s">
        <v>135</v>
      </c>
      <c r="G20" s="7" t="s">
        <v>94</v>
      </c>
      <c r="H20" s="6" t="s">
        <v>33</v>
      </c>
      <c r="I20" s="8">
        <f>IF(AND(C20&lt;&gt;"—",A20&gt;INÍCIO!$B$5),1,0)</f>
        <v>0</v>
      </c>
      <c r="J20" t="str">
        <f t="shared" si="0"/>
        <v>Skysliver (spear) se for no modo completo.</v>
      </c>
      <c r="K20">
        <f t="shared" si="1"/>
        <v>16</v>
      </c>
    </row>
    <row r="21" spans="1:11" ht="48.95" customHeight="1" x14ac:dyDescent="0.25">
      <c r="A21" s="9">
        <v>18</v>
      </c>
      <c r="B21" s="10" t="s">
        <v>30</v>
      </c>
      <c r="C21" s="10" t="s">
        <v>28</v>
      </c>
      <c r="D21" s="10" t="s">
        <v>133</v>
      </c>
      <c r="E21" s="10" t="s">
        <v>131</v>
      </c>
      <c r="F21" s="10" t="s">
        <v>132</v>
      </c>
      <c r="G21" s="9" t="s">
        <v>94</v>
      </c>
      <c r="H21" s="10" t="s">
        <v>33</v>
      </c>
      <c r="I21" s="8">
        <f>IF(AND(C21&lt;&gt;"—",A21&gt;INÍCIO!$B$5),1,0)</f>
        <v>0</v>
      </c>
      <c r="J21" t="str">
        <f t="shared" si="0"/>
        <v>Skysliver (spear) se for no modo completo.</v>
      </c>
      <c r="K21">
        <f t="shared" si="1"/>
        <v>16</v>
      </c>
    </row>
    <row r="22" spans="1:11" ht="63.95" customHeight="1" x14ac:dyDescent="0.25">
      <c r="A22" s="7">
        <v>19</v>
      </c>
      <c r="B22" s="6" t="s">
        <v>30</v>
      </c>
      <c r="C22" s="6" t="s">
        <v>28</v>
      </c>
      <c r="D22" s="6" t="s">
        <v>133</v>
      </c>
      <c r="E22" s="6" t="s">
        <v>134</v>
      </c>
      <c r="F22" s="6" t="s">
        <v>135</v>
      </c>
      <c r="G22" s="7" t="s">
        <v>94</v>
      </c>
      <c r="H22" s="6" t="s">
        <v>33</v>
      </c>
      <c r="I22" s="8">
        <f>IF(AND(C22&lt;&gt;"—",A22&gt;INÍCIO!$B$5),1,0)</f>
        <v>0</v>
      </c>
      <c r="J22" t="str">
        <f t="shared" si="0"/>
        <v>Skysliver (spear) se for no modo completo.</v>
      </c>
      <c r="K22">
        <f t="shared" si="1"/>
        <v>16</v>
      </c>
    </row>
    <row r="23" spans="1:11" ht="48.95" customHeight="1" x14ac:dyDescent="0.25">
      <c r="A23" s="9">
        <v>20</v>
      </c>
      <c r="B23" s="10" t="s">
        <v>30</v>
      </c>
      <c r="C23" s="11" t="s">
        <v>136</v>
      </c>
      <c r="D23" s="10" t="s">
        <v>133</v>
      </c>
      <c r="E23" s="10" t="s">
        <v>131</v>
      </c>
      <c r="F23" s="10" t="s">
        <v>132</v>
      </c>
      <c r="G23" s="9" t="s">
        <v>94</v>
      </c>
      <c r="H23" s="10" t="s">
        <v>33</v>
      </c>
      <c r="I23" s="8">
        <f>IF(AND(C23&lt;&gt;"—",A23&gt;INÍCIO!$B$5),1,0)</f>
        <v>0</v>
      </c>
      <c r="J23" t="str">
        <f t="shared" si="0"/>
        <v>Trial of the Sekhemas → Wild Protector.</v>
      </c>
      <c r="K23">
        <f t="shared" si="1"/>
        <v>20</v>
      </c>
    </row>
    <row r="24" spans="1:11" ht="63.95" customHeight="1" x14ac:dyDescent="0.25">
      <c r="A24" s="7">
        <v>21</v>
      </c>
      <c r="B24" s="6" t="s">
        <v>30</v>
      </c>
      <c r="C24" s="6" t="s">
        <v>28</v>
      </c>
      <c r="D24" s="6" t="s">
        <v>133</v>
      </c>
      <c r="E24" s="6" t="s">
        <v>134</v>
      </c>
      <c r="F24" s="6" t="s">
        <v>135</v>
      </c>
      <c r="G24" s="7" t="s">
        <v>94</v>
      </c>
      <c r="H24" s="6" t="s">
        <v>33</v>
      </c>
      <c r="I24" s="8">
        <f>IF(AND(C24&lt;&gt;"—",A24&gt;INÍCIO!$B$5),1,0)</f>
        <v>0</v>
      </c>
      <c r="J24" t="str">
        <f t="shared" si="0"/>
        <v>Trial of the Sekhemas → Wild Protector.</v>
      </c>
      <c r="K24">
        <f t="shared" si="1"/>
        <v>20</v>
      </c>
    </row>
    <row r="25" spans="1:11" ht="48.95" customHeight="1" x14ac:dyDescent="0.25">
      <c r="A25" s="9">
        <v>22</v>
      </c>
      <c r="B25" s="10" t="s">
        <v>30</v>
      </c>
      <c r="C25" s="10" t="s">
        <v>28</v>
      </c>
      <c r="D25" s="10" t="s">
        <v>133</v>
      </c>
      <c r="E25" s="10" t="s">
        <v>131</v>
      </c>
      <c r="F25" s="10" t="s">
        <v>132</v>
      </c>
      <c r="G25" s="9" t="s">
        <v>94</v>
      </c>
      <c r="H25" s="10" t="s">
        <v>33</v>
      </c>
      <c r="I25" s="8">
        <f>IF(AND(C25&lt;&gt;"—",A25&gt;INÍCIO!$B$5),1,0)</f>
        <v>0</v>
      </c>
      <c r="J25" t="str">
        <f t="shared" si="0"/>
        <v>Trial of the Sekhemas → Wild Protector.</v>
      </c>
      <c r="K25">
        <f t="shared" si="1"/>
        <v>20</v>
      </c>
    </row>
    <row r="26" spans="1:11" ht="63.95" customHeight="1" x14ac:dyDescent="0.25">
      <c r="A26" s="7">
        <v>23</v>
      </c>
      <c r="B26" s="6" t="s">
        <v>30</v>
      </c>
      <c r="C26" s="6" t="s">
        <v>28</v>
      </c>
      <c r="D26" s="6" t="s">
        <v>133</v>
      </c>
      <c r="E26" s="6" t="s">
        <v>134</v>
      </c>
      <c r="F26" s="6" t="s">
        <v>135</v>
      </c>
      <c r="G26" s="7" t="s">
        <v>94</v>
      </c>
      <c r="H26" s="6" t="s">
        <v>33</v>
      </c>
      <c r="I26" s="8">
        <f>IF(AND(C26&lt;&gt;"—",A26&gt;INÍCIO!$B$5),1,0)</f>
        <v>0</v>
      </c>
      <c r="J26" t="str">
        <f t="shared" si="0"/>
        <v>Trial of the Sekhemas → Wild Protector.</v>
      </c>
      <c r="K26">
        <f t="shared" si="1"/>
        <v>20</v>
      </c>
    </row>
    <row r="27" spans="1:11" ht="48.95" customHeight="1" x14ac:dyDescent="0.25">
      <c r="A27" s="9">
        <v>24</v>
      </c>
      <c r="B27" s="10" t="s">
        <v>30</v>
      </c>
      <c r="C27" s="10" t="s">
        <v>28</v>
      </c>
      <c r="D27" s="10" t="s">
        <v>133</v>
      </c>
      <c r="E27" s="10" t="s">
        <v>131</v>
      </c>
      <c r="F27" s="10" t="s">
        <v>132</v>
      </c>
      <c r="G27" s="9" t="s">
        <v>94</v>
      </c>
      <c r="H27" s="10" t="s">
        <v>33</v>
      </c>
      <c r="I27" s="8">
        <f>IF(AND(C27&lt;&gt;"—",A27&gt;INÍCIO!$B$5),1,0)</f>
        <v>0</v>
      </c>
      <c r="J27" t="str">
        <f t="shared" si="0"/>
        <v>Trial of the Sekhemas → Wild Protector.</v>
      </c>
      <c r="K27">
        <f t="shared" si="1"/>
        <v>20</v>
      </c>
    </row>
    <row r="28" spans="1:11" ht="63.95" customHeight="1" x14ac:dyDescent="0.25">
      <c r="A28" s="7">
        <v>25</v>
      </c>
      <c r="B28" s="6" t="s">
        <v>30</v>
      </c>
      <c r="C28" s="5" t="s">
        <v>137</v>
      </c>
      <c r="D28" s="6" t="s">
        <v>133</v>
      </c>
      <c r="E28" s="6" t="s">
        <v>134</v>
      </c>
      <c r="F28" s="6" t="s">
        <v>135</v>
      </c>
      <c r="G28" s="7" t="s">
        <v>94</v>
      </c>
      <c r="H28" s="6" t="s">
        <v>33</v>
      </c>
      <c r="I28" s="8">
        <f>IF(AND(C28&lt;&gt;"—",A28&gt;INÍCIO!$B$5),1,0)</f>
        <v>0</v>
      </c>
      <c r="J28" t="str">
        <f t="shared" si="0"/>
        <v>Valley of the Titans: Medallion (+1 Charm Slot).</v>
      </c>
      <c r="K28">
        <f t="shared" si="1"/>
        <v>25</v>
      </c>
    </row>
    <row r="29" spans="1:11" ht="48.95" customHeight="1" x14ac:dyDescent="0.25">
      <c r="A29" s="9">
        <v>26</v>
      </c>
      <c r="B29" s="10" t="s">
        <v>30</v>
      </c>
      <c r="C29" s="10" t="s">
        <v>28</v>
      </c>
      <c r="D29" s="10" t="s">
        <v>133</v>
      </c>
      <c r="E29" s="10" t="s">
        <v>131</v>
      </c>
      <c r="F29" s="10" t="s">
        <v>132</v>
      </c>
      <c r="G29" s="9" t="s">
        <v>94</v>
      </c>
      <c r="H29" s="10" t="s">
        <v>33</v>
      </c>
      <c r="I29" s="8">
        <f>IF(AND(C29&lt;&gt;"—",A29&gt;INÍCIO!$B$5),1,0)</f>
        <v>0</v>
      </c>
      <c r="J29" t="str">
        <f t="shared" si="0"/>
        <v>Valley of the Titans: Medallion (+1 Charm Slot).</v>
      </c>
      <c r="K29">
        <f t="shared" si="1"/>
        <v>25</v>
      </c>
    </row>
    <row r="30" spans="1:11" ht="63.95" customHeight="1" x14ac:dyDescent="0.25">
      <c r="A30" s="7">
        <v>27</v>
      </c>
      <c r="B30" s="6" t="s">
        <v>30</v>
      </c>
      <c r="C30" s="6" t="s">
        <v>28</v>
      </c>
      <c r="D30" s="6" t="s">
        <v>133</v>
      </c>
      <c r="E30" s="6" t="s">
        <v>134</v>
      </c>
      <c r="F30" s="6" t="s">
        <v>135</v>
      </c>
      <c r="G30" s="7" t="s">
        <v>94</v>
      </c>
      <c r="H30" s="6" t="s">
        <v>33</v>
      </c>
      <c r="I30" s="8">
        <f>IF(AND(C30&lt;&gt;"—",A30&gt;INÍCIO!$B$5),1,0)</f>
        <v>0</v>
      </c>
      <c r="J30" t="str">
        <f t="shared" si="0"/>
        <v>Valley of the Titans: Medallion (+1 Charm Slot).</v>
      </c>
      <c r="K30">
        <f t="shared" si="1"/>
        <v>25</v>
      </c>
    </row>
    <row r="31" spans="1:11" ht="48.95" customHeight="1" x14ac:dyDescent="0.25">
      <c r="A31" s="9">
        <v>28</v>
      </c>
      <c r="B31" s="10" t="s">
        <v>30</v>
      </c>
      <c r="C31" s="11" t="s">
        <v>138</v>
      </c>
      <c r="D31" s="10" t="s">
        <v>133</v>
      </c>
      <c r="E31" s="10" t="s">
        <v>131</v>
      </c>
      <c r="F31" s="10" t="s">
        <v>132</v>
      </c>
      <c r="G31" s="9" t="s">
        <v>94</v>
      </c>
      <c r="H31" s="10" t="s">
        <v>33</v>
      </c>
      <c r="I31" s="8">
        <f>IF(AND(C31&lt;&gt;"—",A31&gt;INÍCIO!$B$5),1,0)</f>
        <v>0</v>
      </c>
      <c r="J31" t="str">
        <f t="shared" si="0"/>
        <v>Comece a guardar currency para a troca do Ato 3.</v>
      </c>
      <c r="K31">
        <f t="shared" si="1"/>
        <v>28</v>
      </c>
    </row>
    <row r="32" spans="1:11" ht="63.95" customHeight="1" x14ac:dyDescent="0.25">
      <c r="A32" s="7">
        <v>29</v>
      </c>
      <c r="B32" s="6" t="s">
        <v>30</v>
      </c>
      <c r="C32" s="6" t="s">
        <v>28</v>
      </c>
      <c r="D32" s="6" t="s">
        <v>133</v>
      </c>
      <c r="E32" s="6" t="s">
        <v>134</v>
      </c>
      <c r="F32" s="6" t="s">
        <v>135</v>
      </c>
      <c r="G32" s="7" t="s">
        <v>94</v>
      </c>
      <c r="H32" s="6" t="s">
        <v>33</v>
      </c>
      <c r="I32" s="8">
        <f>IF(AND(C32&lt;&gt;"—",A32&gt;INÍCIO!$B$5),1,0)</f>
        <v>0</v>
      </c>
      <c r="J32" t="str">
        <f t="shared" si="0"/>
        <v>Comece a guardar currency para a troca do Ato 3.</v>
      </c>
      <c r="K32">
        <f t="shared" si="1"/>
        <v>28</v>
      </c>
    </row>
    <row r="33" spans="1:11" ht="48.95" customHeight="1" x14ac:dyDescent="0.25">
      <c r="A33" s="9">
        <v>30</v>
      </c>
      <c r="B33" s="10" t="s">
        <v>30</v>
      </c>
      <c r="C33" s="11" t="s">
        <v>139</v>
      </c>
      <c r="D33" s="10" t="s">
        <v>133</v>
      </c>
      <c r="E33" s="10" t="s">
        <v>131</v>
      </c>
      <c r="F33" s="10" t="s">
        <v>132</v>
      </c>
      <c r="G33" s="9" t="s">
        <v>94</v>
      </c>
      <c r="H33" s="10" t="s">
        <v>33</v>
      </c>
      <c r="I33" s="8">
        <f>IF(AND(C33&lt;&gt;"—",A33&gt;INÍCIO!$B$5),1,0)</f>
        <v>0</v>
      </c>
      <c r="J33" t="str">
        <f t="shared" si="0"/>
        <v>Compre: Rattling Sceptre + Trenchtimbre (barato) ou Chober Chaber + Treefingers + The Vertex (completo).</v>
      </c>
      <c r="K33">
        <f t="shared" si="1"/>
        <v>30</v>
      </c>
    </row>
    <row r="34" spans="1:11" ht="33.950000000000003" customHeight="1" x14ac:dyDescent="0.25">
      <c r="A34" s="7">
        <v>31</v>
      </c>
      <c r="B34" s="6" t="s">
        <v>37</v>
      </c>
      <c r="C34" s="6" t="s">
        <v>28</v>
      </c>
      <c r="D34" s="6" t="s">
        <v>104</v>
      </c>
      <c r="E34" s="6" t="s">
        <v>140</v>
      </c>
      <c r="F34" s="6" t="s">
        <v>141</v>
      </c>
      <c r="G34" s="7" t="s">
        <v>94</v>
      </c>
      <c r="H34" s="6" t="s">
        <v>40</v>
      </c>
      <c r="I34" s="8">
        <f>IF(AND(C34&lt;&gt;"—",A34&gt;INÍCIO!$B$5),1,0)</f>
        <v>0</v>
      </c>
      <c r="J34" t="str">
        <f t="shared" si="0"/>
        <v>Compre: Rattling Sceptre + Trenchtimbre (barato) ou Chober Chaber + Treefingers + The Vertex (completo).</v>
      </c>
      <c r="K34">
        <f t="shared" si="1"/>
        <v>30</v>
      </c>
    </row>
    <row r="35" spans="1:11" ht="48.95" customHeight="1" x14ac:dyDescent="0.25">
      <c r="A35" s="9">
        <v>32</v>
      </c>
      <c r="B35" s="10" t="s">
        <v>37</v>
      </c>
      <c r="C35" s="11" t="s">
        <v>142</v>
      </c>
      <c r="D35" s="10" t="s">
        <v>143</v>
      </c>
      <c r="E35" s="10" t="s">
        <v>144</v>
      </c>
      <c r="F35" s="10" t="s">
        <v>145</v>
      </c>
      <c r="G35" s="9" t="s">
        <v>94</v>
      </c>
      <c r="H35" s="10" t="s">
        <v>40</v>
      </c>
      <c r="I35" s="8">
        <f>IF(AND(C35&lt;&gt;"—",A35&gt;INÍCIO!$B$5),1,0)</f>
        <v>0</v>
      </c>
      <c r="J35" t="str">
        <f t="shared" si="0"/>
        <v>Jungle Ruins: NÃO mate o Silverfist ainda.</v>
      </c>
      <c r="K35">
        <f t="shared" si="1"/>
        <v>32</v>
      </c>
    </row>
    <row r="36" spans="1:11" ht="33.950000000000003" customHeight="1" x14ac:dyDescent="0.25">
      <c r="A36" s="7">
        <v>33</v>
      </c>
      <c r="B36" s="6" t="s">
        <v>37</v>
      </c>
      <c r="C36" s="5" t="s">
        <v>146</v>
      </c>
      <c r="D36" s="6" t="s">
        <v>143</v>
      </c>
      <c r="E36" s="6" t="s">
        <v>134</v>
      </c>
      <c r="F36" s="6" t="s">
        <v>147</v>
      </c>
      <c r="G36" s="7" t="s">
        <v>94</v>
      </c>
      <c r="H36" s="6" t="s">
        <v>40</v>
      </c>
      <c r="I36" s="8">
        <f>IF(AND(C36&lt;&gt;"—",A36&gt;INÍCIO!$B$5),1,0)</f>
        <v>0</v>
      </c>
      <c r="J36" t="str">
        <f t="shared" si="0"/>
        <v>Trial of Chaos → The Natural Order.</v>
      </c>
      <c r="K36">
        <f t="shared" si="1"/>
        <v>33</v>
      </c>
    </row>
    <row r="37" spans="1:11" ht="33.950000000000003" customHeight="1" x14ac:dyDescent="0.25">
      <c r="A37" s="9">
        <v>34</v>
      </c>
      <c r="B37" s="10" t="s">
        <v>37</v>
      </c>
      <c r="C37" s="11" t="s">
        <v>148</v>
      </c>
      <c r="D37" s="10" t="s">
        <v>143</v>
      </c>
      <c r="E37" s="10" t="s">
        <v>140</v>
      </c>
      <c r="F37" s="10" t="s">
        <v>141</v>
      </c>
      <c r="G37" s="9" t="s">
        <v>94</v>
      </c>
      <c r="H37" s="10" t="s">
        <v>40</v>
      </c>
      <c r="I37" s="8">
        <f>IF(AND(C37&lt;&gt;"—",A37&gt;INÍCIO!$B$5),1,0)</f>
        <v>0</v>
      </c>
      <c r="J37" t="str">
        <f t="shared" ref="J37:J68" si="2">IF(C37&lt;&gt;"—",C37,J36)</f>
        <v>Capture o Mighty Silverfist. Respec completo para minion.</v>
      </c>
      <c r="K37">
        <f t="shared" ref="K37:K68" si="3">IF(C37&lt;&gt;"—",A37,K36)</f>
        <v>34</v>
      </c>
    </row>
    <row r="38" spans="1:11" ht="48.95" customHeight="1" x14ac:dyDescent="0.25">
      <c r="A38" s="7">
        <v>35</v>
      </c>
      <c r="B38" s="6" t="s">
        <v>37</v>
      </c>
      <c r="C38" s="5" t="s">
        <v>149</v>
      </c>
      <c r="D38" s="6" t="s">
        <v>143</v>
      </c>
      <c r="E38" s="6" t="s">
        <v>144</v>
      </c>
      <c r="F38" s="6" t="s">
        <v>145</v>
      </c>
      <c r="G38" s="7" t="s">
        <v>94</v>
      </c>
      <c r="H38" s="6" t="s">
        <v>40</v>
      </c>
      <c r="I38" s="8">
        <f>IF(AND(C38&lt;&gt;"—",A38&gt;INÍCIO!$B$5),1,0)</f>
        <v>0</v>
      </c>
      <c r="J38" t="str">
        <f t="shared" si="2"/>
        <v>TROCA: tire Twister/Whirling. Entram Skeletal Warrior + Pain Offering + Unearth.</v>
      </c>
      <c r="K38">
        <f t="shared" si="3"/>
        <v>35</v>
      </c>
    </row>
    <row r="39" spans="1:11" ht="33.950000000000003" customHeight="1" x14ac:dyDescent="0.25">
      <c r="A39" s="9">
        <v>36</v>
      </c>
      <c r="B39" s="10" t="s">
        <v>37</v>
      </c>
      <c r="C39" s="10" t="s">
        <v>28</v>
      </c>
      <c r="D39" s="10" t="s">
        <v>143</v>
      </c>
      <c r="E39" s="10" t="s">
        <v>134</v>
      </c>
      <c r="F39" s="10" t="s">
        <v>147</v>
      </c>
      <c r="G39" s="9" t="s">
        <v>94</v>
      </c>
      <c r="H39" s="10" t="s">
        <v>40</v>
      </c>
      <c r="I39" s="8">
        <f>IF(AND(C39&lt;&gt;"—",A39&gt;INÍCIO!$B$5),1,0)</f>
        <v>0</v>
      </c>
      <c r="J39" t="str">
        <f t="shared" si="2"/>
        <v>TROCA: tire Twister/Whirling. Entram Skeletal Warrior + Pain Offering + Unearth.</v>
      </c>
      <c r="K39">
        <f t="shared" si="3"/>
        <v>35</v>
      </c>
    </row>
    <row r="40" spans="1:11" ht="33.950000000000003" customHeight="1" x14ac:dyDescent="0.25">
      <c r="A40" s="7">
        <v>37</v>
      </c>
      <c r="B40" s="6" t="s">
        <v>37</v>
      </c>
      <c r="C40" s="6" t="s">
        <v>28</v>
      </c>
      <c r="D40" s="6" t="s">
        <v>143</v>
      </c>
      <c r="E40" s="6" t="s">
        <v>140</v>
      </c>
      <c r="F40" s="6" t="s">
        <v>141</v>
      </c>
      <c r="G40" s="7" t="s">
        <v>94</v>
      </c>
      <c r="H40" s="6" t="s">
        <v>40</v>
      </c>
      <c r="I40" s="8">
        <f>IF(AND(C40&lt;&gt;"—",A40&gt;INÍCIO!$B$5),1,0)</f>
        <v>0</v>
      </c>
      <c r="J40" t="str">
        <f t="shared" si="2"/>
        <v>TROCA: tire Twister/Whirling. Entram Skeletal Warrior + Pain Offering + Unearth.</v>
      </c>
      <c r="K40">
        <f t="shared" si="3"/>
        <v>35</v>
      </c>
    </row>
    <row r="41" spans="1:11" ht="48.95" customHeight="1" x14ac:dyDescent="0.25">
      <c r="A41" s="9">
        <v>38</v>
      </c>
      <c r="B41" s="10" t="s">
        <v>37</v>
      </c>
      <c r="C41" s="10" t="s">
        <v>28</v>
      </c>
      <c r="D41" s="10" t="s">
        <v>143</v>
      </c>
      <c r="E41" s="10" t="s">
        <v>144</v>
      </c>
      <c r="F41" s="10" t="s">
        <v>145</v>
      </c>
      <c r="G41" s="9" t="s">
        <v>94</v>
      </c>
      <c r="H41" s="10" t="s">
        <v>40</v>
      </c>
      <c r="I41" s="8">
        <f>IF(AND(C41&lt;&gt;"—",A41&gt;INÍCIO!$B$5),1,0)</f>
        <v>0</v>
      </c>
      <c r="J41" t="str">
        <f t="shared" si="2"/>
        <v>TROCA: tire Twister/Whirling. Entram Skeletal Warrior + Pain Offering + Unearth.</v>
      </c>
      <c r="K41">
        <f t="shared" si="3"/>
        <v>35</v>
      </c>
    </row>
    <row r="42" spans="1:11" ht="33.950000000000003" customHeight="1" x14ac:dyDescent="0.25">
      <c r="A42" s="7">
        <v>39</v>
      </c>
      <c r="B42" s="6" t="s">
        <v>37</v>
      </c>
      <c r="C42" s="6" t="s">
        <v>28</v>
      </c>
      <c r="D42" s="6" t="s">
        <v>143</v>
      </c>
      <c r="E42" s="6" t="s">
        <v>134</v>
      </c>
      <c r="F42" s="6" t="s">
        <v>147</v>
      </c>
      <c r="G42" s="7" t="s">
        <v>94</v>
      </c>
      <c r="H42" s="6" t="s">
        <v>40</v>
      </c>
      <c r="I42" s="8">
        <f>IF(AND(C42&lt;&gt;"—",A42&gt;INÍCIO!$B$5),1,0)</f>
        <v>0</v>
      </c>
      <c r="J42" t="str">
        <f t="shared" si="2"/>
        <v>TROCA: tire Twister/Whirling. Entram Skeletal Warrior + Pain Offering + Unearth.</v>
      </c>
      <c r="K42">
        <f t="shared" si="3"/>
        <v>35</v>
      </c>
    </row>
    <row r="43" spans="1:11" ht="33.950000000000003" customHeight="1" x14ac:dyDescent="0.25">
      <c r="A43" s="9">
        <v>40</v>
      </c>
      <c r="B43" s="10" t="s">
        <v>37</v>
      </c>
      <c r="C43" s="11" t="s">
        <v>150</v>
      </c>
      <c r="D43" s="10" t="s">
        <v>143</v>
      </c>
      <c r="E43" s="10" t="s">
        <v>140</v>
      </c>
      <c r="F43" s="10" t="s">
        <v>141</v>
      </c>
      <c r="G43" s="9" t="s">
        <v>94</v>
      </c>
      <c r="H43" s="10" t="s">
        <v>40</v>
      </c>
      <c r="I43" s="8">
        <f>IF(AND(C43&lt;&gt;"—",A43&gt;INÍCIO!$B$5),1,0)</f>
        <v>1</v>
      </c>
      <c r="J43" t="str">
        <f t="shared" si="2"/>
        <v>Azak Bog: Ignagduk (+30 Spirit). 2º beast de aura.</v>
      </c>
      <c r="K43">
        <f t="shared" si="3"/>
        <v>40</v>
      </c>
    </row>
    <row r="44" spans="1:11" ht="48.95" customHeight="1" x14ac:dyDescent="0.25">
      <c r="A44" s="7">
        <v>41</v>
      </c>
      <c r="B44" s="6" t="s">
        <v>37</v>
      </c>
      <c r="C44" s="6" t="s">
        <v>28</v>
      </c>
      <c r="D44" s="6" t="s">
        <v>143</v>
      </c>
      <c r="E44" s="6" t="s">
        <v>144</v>
      </c>
      <c r="F44" s="6" t="s">
        <v>145</v>
      </c>
      <c r="G44" s="7" t="s">
        <v>94</v>
      </c>
      <c r="H44" s="6" t="s">
        <v>40</v>
      </c>
      <c r="I44" s="8">
        <f>IF(AND(C44&lt;&gt;"—",A44&gt;INÍCIO!$B$5),1,0)</f>
        <v>0</v>
      </c>
      <c r="J44" t="str">
        <f t="shared" si="2"/>
        <v>Azak Bog: Ignagduk (+30 Spirit). 2º beast de aura.</v>
      </c>
      <c r="K44">
        <f t="shared" si="3"/>
        <v>40</v>
      </c>
    </row>
    <row r="45" spans="1:11" ht="33.950000000000003" customHeight="1" x14ac:dyDescent="0.25">
      <c r="A45" s="9">
        <v>42</v>
      </c>
      <c r="B45" s="10" t="s">
        <v>37</v>
      </c>
      <c r="C45" s="10" t="s">
        <v>28</v>
      </c>
      <c r="D45" s="10" t="s">
        <v>143</v>
      </c>
      <c r="E45" s="10" t="s">
        <v>134</v>
      </c>
      <c r="F45" s="10" t="s">
        <v>147</v>
      </c>
      <c r="G45" s="9" t="s">
        <v>94</v>
      </c>
      <c r="H45" s="10" t="s">
        <v>40</v>
      </c>
      <c r="I45" s="8">
        <f>IF(AND(C45&lt;&gt;"—",A45&gt;INÍCIO!$B$5),1,0)</f>
        <v>0</v>
      </c>
      <c r="J45" t="str">
        <f t="shared" si="2"/>
        <v>Azak Bog: Ignagduk (+30 Spirit). 2º beast de aura.</v>
      </c>
      <c r="K45">
        <f t="shared" si="3"/>
        <v>40</v>
      </c>
    </row>
    <row r="46" spans="1:11" ht="33.950000000000003" customHeight="1" x14ac:dyDescent="0.25">
      <c r="A46" s="7">
        <v>43</v>
      </c>
      <c r="B46" s="6" t="s">
        <v>37</v>
      </c>
      <c r="C46" s="6" t="s">
        <v>28</v>
      </c>
      <c r="D46" s="6" t="s">
        <v>143</v>
      </c>
      <c r="E46" s="6" t="s">
        <v>140</v>
      </c>
      <c r="F46" s="6" t="s">
        <v>141</v>
      </c>
      <c r="G46" s="7" t="s">
        <v>94</v>
      </c>
      <c r="H46" s="6" t="s">
        <v>40</v>
      </c>
      <c r="I46" s="8">
        <f>IF(AND(C46&lt;&gt;"—",A46&gt;INÍCIO!$B$5),1,0)</f>
        <v>0</v>
      </c>
      <c r="J46" t="str">
        <f t="shared" si="2"/>
        <v>Azak Bog: Ignagduk (+30 Spirit). 2º beast de aura.</v>
      </c>
      <c r="K46">
        <f t="shared" si="3"/>
        <v>40</v>
      </c>
    </row>
    <row r="47" spans="1:11" ht="48.95" customHeight="1" x14ac:dyDescent="0.25">
      <c r="A47" s="9">
        <v>44</v>
      </c>
      <c r="B47" s="10" t="s">
        <v>37</v>
      </c>
      <c r="C47" s="10" t="s">
        <v>28</v>
      </c>
      <c r="D47" s="10" t="s">
        <v>143</v>
      </c>
      <c r="E47" s="10" t="s">
        <v>144</v>
      </c>
      <c r="F47" s="10" t="s">
        <v>145</v>
      </c>
      <c r="G47" s="9" t="s">
        <v>94</v>
      </c>
      <c r="H47" s="10" t="s">
        <v>40</v>
      </c>
      <c r="I47" s="8">
        <f>IF(AND(C47&lt;&gt;"—",A47&gt;INÍCIO!$B$5),1,0)</f>
        <v>0</v>
      </c>
      <c r="J47" t="str">
        <f t="shared" si="2"/>
        <v>Azak Bog: Ignagduk (+30 Spirit). 2º beast de aura.</v>
      </c>
      <c r="K47">
        <f t="shared" si="3"/>
        <v>40</v>
      </c>
    </row>
    <row r="48" spans="1:11" ht="33.950000000000003" customHeight="1" x14ac:dyDescent="0.25">
      <c r="A48" s="7">
        <v>45</v>
      </c>
      <c r="B48" s="6" t="s">
        <v>37</v>
      </c>
      <c r="C48" s="6" t="s">
        <v>28</v>
      </c>
      <c r="D48" s="6" t="s">
        <v>143</v>
      </c>
      <c r="E48" s="6" t="s">
        <v>134</v>
      </c>
      <c r="F48" s="6" t="s">
        <v>147</v>
      </c>
      <c r="G48" s="7" t="s">
        <v>94</v>
      </c>
      <c r="H48" s="6" t="s">
        <v>40</v>
      </c>
      <c r="I48" s="8">
        <f>IF(AND(C48&lt;&gt;"—",A48&gt;INÍCIO!$B$5),1,0)</f>
        <v>0</v>
      </c>
      <c r="J48" t="str">
        <f t="shared" si="2"/>
        <v>Azak Bog: Ignagduk (+30 Spirit). 2º beast de aura.</v>
      </c>
      <c r="K48">
        <f t="shared" si="3"/>
        <v>40</v>
      </c>
    </row>
    <row r="49" spans="1:11" ht="33.950000000000003" customHeight="1" x14ac:dyDescent="0.25">
      <c r="A49" s="9">
        <v>46</v>
      </c>
      <c r="B49" s="10" t="s">
        <v>44</v>
      </c>
      <c r="C49" s="11" t="s">
        <v>151</v>
      </c>
      <c r="D49" s="10" t="s">
        <v>106</v>
      </c>
      <c r="E49" s="10" t="s">
        <v>152</v>
      </c>
      <c r="F49" s="10" t="s">
        <v>153</v>
      </c>
      <c r="G49" s="9" t="s">
        <v>94</v>
      </c>
      <c r="H49" s="10" t="s">
        <v>47</v>
      </c>
      <c r="I49" s="8">
        <f>IF(AND(C49&lt;&gt;"—",A49&gt;INÍCIO!$B$5),1,0)</f>
        <v>1</v>
      </c>
      <c r="J49" t="str">
        <f t="shared" si="2"/>
        <v>Evergrasping Ring ×2 + Withering Presence (sinergia de chaos).</v>
      </c>
      <c r="K49">
        <f t="shared" si="3"/>
        <v>46</v>
      </c>
    </row>
    <row r="50" spans="1:11" ht="33.950000000000003" customHeight="1" x14ac:dyDescent="0.25">
      <c r="A50" s="7">
        <v>47</v>
      </c>
      <c r="B50" s="6" t="s">
        <v>44</v>
      </c>
      <c r="C50" s="6" t="s">
        <v>28</v>
      </c>
      <c r="D50" s="6" t="s">
        <v>154</v>
      </c>
      <c r="E50" s="6" t="s">
        <v>155</v>
      </c>
      <c r="F50" s="6" t="s">
        <v>156</v>
      </c>
      <c r="G50" s="7" t="s">
        <v>94</v>
      </c>
      <c r="H50" s="6" t="s">
        <v>47</v>
      </c>
      <c r="I50" s="8">
        <f>IF(AND(C50&lt;&gt;"—",A50&gt;INÍCIO!$B$5),1,0)</f>
        <v>0</v>
      </c>
      <c r="J50" t="str">
        <f t="shared" si="2"/>
        <v>Evergrasping Ring ×2 + Withering Presence (sinergia de chaos).</v>
      </c>
      <c r="K50">
        <f t="shared" si="3"/>
        <v>46</v>
      </c>
    </row>
    <row r="51" spans="1:11" ht="33.950000000000003" customHeight="1" x14ac:dyDescent="0.25">
      <c r="A51" s="9">
        <v>48</v>
      </c>
      <c r="B51" s="10" t="s">
        <v>44</v>
      </c>
      <c r="C51" s="11" t="s">
        <v>157</v>
      </c>
      <c r="D51" s="10" t="s">
        <v>154</v>
      </c>
      <c r="E51" s="10" t="s">
        <v>158</v>
      </c>
      <c r="F51" s="10" t="s">
        <v>159</v>
      </c>
      <c r="G51" s="9" t="s">
        <v>94</v>
      </c>
      <c r="H51" s="10" t="s">
        <v>47</v>
      </c>
      <c r="I51" s="8">
        <f>IF(AND(C51&lt;&gt;"—",A51&gt;INÍCIO!$B$5),1,0)</f>
        <v>1</v>
      </c>
      <c r="J51" t="str">
        <f t="shared" si="2"/>
        <v>Whakapanu Island: capture Quill/Coconut Crab com aura (~25% Spirit).</v>
      </c>
      <c r="K51">
        <f t="shared" si="3"/>
        <v>48</v>
      </c>
    </row>
    <row r="52" spans="1:11" ht="33.950000000000003" customHeight="1" x14ac:dyDescent="0.25">
      <c r="A52" s="7">
        <v>49</v>
      </c>
      <c r="B52" s="6" t="s">
        <v>44</v>
      </c>
      <c r="C52" s="6" t="s">
        <v>28</v>
      </c>
      <c r="D52" s="6" t="s">
        <v>154</v>
      </c>
      <c r="E52" s="6" t="s">
        <v>160</v>
      </c>
      <c r="F52" s="6" t="s">
        <v>153</v>
      </c>
      <c r="G52" s="7" t="s">
        <v>94</v>
      </c>
      <c r="H52" s="6" t="s">
        <v>47</v>
      </c>
      <c r="I52" s="8">
        <f>IF(AND(C52&lt;&gt;"—",A52&gt;INÍCIO!$B$5),1,0)</f>
        <v>0</v>
      </c>
      <c r="J52" t="str">
        <f t="shared" si="2"/>
        <v>Whakapanu Island: capture Quill/Coconut Crab com aura (~25% Spirit).</v>
      </c>
      <c r="K52">
        <f t="shared" si="3"/>
        <v>48</v>
      </c>
    </row>
    <row r="53" spans="1:11" ht="33.950000000000003" customHeight="1" x14ac:dyDescent="0.25">
      <c r="A53" s="9">
        <v>50</v>
      </c>
      <c r="B53" s="10" t="s">
        <v>44</v>
      </c>
      <c r="C53" s="10" t="s">
        <v>28</v>
      </c>
      <c r="D53" s="10" t="s">
        <v>154</v>
      </c>
      <c r="E53" s="10" t="s">
        <v>152</v>
      </c>
      <c r="F53" s="10" t="s">
        <v>156</v>
      </c>
      <c r="G53" s="9" t="s">
        <v>94</v>
      </c>
      <c r="H53" s="10" t="s">
        <v>47</v>
      </c>
      <c r="I53" s="8">
        <f>IF(AND(C53&lt;&gt;"—",A53&gt;INÍCIO!$B$5),1,0)</f>
        <v>0</v>
      </c>
      <c r="J53" t="str">
        <f t="shared" si="2"/>
        <v>Whakapanu Island: capture Quill/Coconut Crab com aura (~25% Spirit).</v>
      </c>
      <c r="K53">
        <f t="shared" si="3"/>
        <v>48</v>
      </c>
    </row>
    <row r="54" spans="1:11" ht="33.950000000000003" customHeight="1" x14ac:dyDescent="0.25">
      <c r="A54" s="7">
        <v>51</v>
      </c>
      <c r="B54" s="6" t="s">
        <v>44</v>
      </c>
      <c r="C54" s="6" t="s">
        <v>28</v>
      </c>
      <c r="D54" s="6" t="s">
        <v>154</v>
      </c>
      <c r="E54" s="6" t="s">
        <v>155</v>
      </c>
      <c r="F54" s="6" t="s">
        <v>159</v>
      </c>
      <c r="G54" s="7" t="s">
        <v>94</v>
      </c>
      <c r="H54" s="6" t="s">
        <v>47</v>
      </c>
      <c r="I54" s="8">
        <f>IF(AND(C54&lt;&gt;"—",A54&gt;INÍCIO!$B$5),1,0)</f>
        <v>0</v>
      </c>
      <c r="J54" t="str">
        <f t="shared" si="2"/>
        <v>Whakapanu Island: capture Quill/Coconut Crab com aura (~25% Spirit).</v>
      </c>
      <c r="K54">
        <f t="shared" si="3"/>
        <v>48</v>
      </c>
    </row>
    <row r="55" spans="1:11" ht="33.950000000000003" customHeight="1" x14ac:dyDescent="0.25">
      <c r="A55" s="9">
        <v>52</v>
      </c>
      <c r="B55" s="10" t="s">
        <v>44</v>
      </c>
      <c r="C55" s="11" t="s">
        <v>161</v>
      </c>
      <c r="D55" s="10" t="s">
        <v>154</v>
      </c>
      <c r="E55" s="10" t="s">
        <v>158</v>
      </c>
      <c r="F55" s="10" t="s">
        <v>153</v>
      </c>
      <c r="G55" s="9" t="s">
        <v>94</v>
      </c>
      <c r="H55" s="10" t="s">
        <v>47</v>
      </c>
      <c r="I55" s="8">
        <f>IF(AND(C55&lt;&gt;"—",A55&gt;INÍCIO!$B$5),1,0)</f>
        <v>1</v>
      </c>
      <c r="J55" t="str">
        <f t="shared" si="2"/>
        <v>Sniper's Mark + Mark for Death no boss.</v>
      </c>
      <c r="K55">
        <f t="shared" si="3"/>
        <v>52</v>
      </c>
    </row>
    <row r="56" spans="1:11" ht="33.950000000000003" customHeight="1" x14ac:dyDescent="0.25">
      <c r="A56" s="7">
        <v>53</v>
      </c>
      <c r="B56" s="6" t="s">
        <v>44</v>
      </c>
      <c r="C56" s="6" t="s">
        <v>28</v>
      </c>
      <c r="D56" s="6" t="s">
        <v>154</v>
      </c>
      <c r="E56" s="6" t="s">
        <v>160</v>
      </c>
      <c r="F56" s="6" t="s">
        <v>156</v>
      </c>
      <c r="G56" s="7" t="s">
        <v>94</v>
      </c>
      <c r="H56" s="6" t="s">
        <v>47</v>
      </c>
      <c r="I56" s="8">
        <f>IF(AND(C56&lt;&gt;"—",A56&gt;INÍCIO!$B$5),1,0)</f>
        <v>0</v>
      </c>
      <c r="J56" t="str">
        <f t="shared" si="2"/>
        <v>Sniper's Mark + Mark for Death no boss.</v>
      </c>
      <c r="K56">
        <f t="shared" si="3"/>
        <v>52</v>
      </c>
    </row>
    <row r="57" spans="1:11" ht="18.95" customHeight="1" x14ac:dyDescent="0.25">
      <c r="A57" s="9">
        <v>54</v>
      </c>
      <c r="B57" s="10" t="s">
        <v>44</v>
      </c>
      <c r="C57" s="10" t="s">
        <v>28</v>
      </c>
      <c r="D57" s="10" t="s">
        <v>154</v>
      </c>
      <c r="E57" s="10" t="s">
        <v>152</v>
      </c>
      <c r="F57" s="10" t="s">
        <v>159</v>
      </c>
      <c r="G57" s="9" t="s">
        <v>94</v>
      </c>
      <c r="H57" s="10" t="s">
        <v>47</v>
      </c>
      <c r="I57" s="8">
        <f>IF(AND(C57&lt;&gt;"—",A57&gt;INÍCIO!$B$5),1,0)</f>
        <v>0</v>
      </c>
      <c r="J57" t="str">
        <f t="shared" si="2"/>
        <v>Sniper's Mark + Mark for Death no boss.</v>
      </c>
      <c r="K57">
        <f t="shared" si="3"/>
        <v>52</v>
      </c>
    </row>
    <row r="58" spans="1:11" ht="33.950000000000003" customHeight="1" x14ac:dyDescent="0.25">
      <c r="A58" s="7">
        <v>55</v>
      </c>
      <c r="B58" s="6" t="s">
        <v>44</v>
      </c>
      <c r="C58" s="5" t="s">
        <v>162</v>
      </c>
      <c r="D58" s="6" t="s">
        <v>154</v>
      </c>
      <c r="E58" s="6" t="s">
        <v>155</v>
      </c>
      <c r="F58" s="6" t="s">
        <v>153</v>
      </c>
      <c r="G58" s="7" t="s">
        <v>94</v>
      </c>
      <c r="H58" s="6" t="s">
        <v>47</v>
      </c>
      <c r="I58" s="8">
        <f>IF(AND(C58&lt;&gt;"—",A58&gt;INÍCIO!$B$5),1,0)</f>
        <v>1</v>
      </c>
      <c r="J58" t="str">
        <f t="shared" si="2"/>
        <v>Tribal Medicine: Evasion como Deflection.</v>
      </c>
      <c r="K58">
        <f t="shared" si="3"/>
        <v>55</v>
      </c>
    </row>
    <row r="59" spans="1:11" ht="33.950000000000003" customHeight="1" x14ac:dyDescent="0.25">
      <c r="A59" s="9">
        <v>56</v>
      </c>
      <c r="B59" s="10" t="s">
        <v>50</v>
      </c>
      <c r="C59" s="11" t="s">
        <v>163</v>
      </c>
      <c r="D59" s="10" t="s">
        <v>107</v>
      </c>
      <c r="E59" s="10" t="s">
        <v>164</v>
      </c>
      <c r="F59" s="10" t="s">
        <v>153</v>
      </c>
      <c r="G59" s="9" t="s">
        <v>94</v>
      </c>
      <c r="H59" s="10" t="s">
        <v>53</v>
      </c>
      <c r="I59" s="8">
        <f>IF(AND(C59&lt;&gt;"—",A59&gt;INÍCIO!$B$5),1,0)</f>
        <v>1</v>
      </c>
      <c r="J59" t="str">
        <f t="shared" si="2"/>
        <v>Muster no macaco. Adicione Frost Mage/Arsonist/Sniper/Reaver (tipos para o Muster).</v>
      </c>
      <c r="K59">
        <f t="shared" si="3"/>
        <v>56</v>
      </c>
    </row>
    <row r="60" spans="1:11" ht="33.950000000000003" customHeight="1" x14ac:dyDescent="0.25">
      <c r="A60" s="7">
        <v>57</v>
      </c>
      <c r="B60" s="6" t="s">
        <v>50</v>
      </c>
      <c r="C60" s="6" t="s">
        <v>28</v>
      </c>
      <c r="D60" s="6" t="s">
        <v>165</v>
      </c>
      <c r="E60" s="6" t="s">
        <v>166</v>
      </c>
      <c r="F60" s="6" t="s">
        <v>167</v>
      </c>
      <c r="G60" s="7" t="s">
        <v>94</v>
      </c>
      <c r="H60" s="6" t="s">
        <v>53</v>
      </c>
      <c r="I60" s="8">
        <f>IF(AND(C60&lt;&gt;"—",A60&gt;INÍCIO!$B$5),1,0)</f>
        <v>0</v>
      </c>
      <c r="J60" t="str">
        <f t="shared" si="2"/>
        <v>Muster no macaco. Adicione Frost Mage/Arsonist/Sniper/Reaver (tipos para o Muster).</v>
      </c>
      <c r="K60">
        <f t="shared" si="3"/>
        <v>56</v>
      </c>
    </row>
    <row r="61" spans="1:11" ht="33.950000000000003" customHeight="1" x14ac:dyDescent="0.25">
      <c r="A61" s="9">
        <v>58</v>
      </c>
      <c r="B61" s="10" t="s">
        <v>50</v>
      </c>
      <c r="C61" s="11" t="s">
        <v>168</v>
      </c>
      <c r="D61" s="10" t="s">
        <v>165</v>
      </c>
      <c r="E61" s="10" t="s">
        <v>169</v>
      </c>
      <c r="F61" s="10" t="s">
        <v>170</v>
      </c>
      <c r="G61" s="9" t="s">
        <v>94</v>
      </c>
      <c r="H61" s="10" t="s">
        <v>53</v>
      </c>
      <c r="I61" s="8">
        <f>IF(AND(C61&lt;&gt;"—",A61&gt;INÍCIO!$B$5),1,0)</f>
        <v>1</v>
      </c>
      <c r="J61" t="str">
        <f t="shared" si="2"/>
        <v>Vulnerability (curse) + Heightened Curse.</v>
      </c>
      <c r="K61">
        <f t="shared" si="3"/>
        <v>58</v>
      </c>
    </row>
    <row r="62" spans="1:11" ht="33.950000000000003" customHeight="1" x14ac:dyDescent="0.25">
      <c r="A62" s="7">
        <v>59</v>
      </c>
      <c r="B62" s="6" t="s">
        <v>50</v>
      </c>
      <c r="C62" s="6" t="s">
        <v>28</v>
      </c>
      <c r="D62" s="6" t="s">
        <v>165</v>
      </c>
      <c r="E62" s="6" t="s">
        <v>164</v>
      </c>
      <c r="F62" s="6" t="s">
        <v>153</v>
      </c>
      <c r="G62" s="7" t="s">
        <v>94</v>
      </c>
      <c r="H62" s="6" t="s">
        <v>53</v>
      </c>
      <c r="I62" s="8">
        <f>IF(AND(C62&lt;&gt;"—",A62&gt;INÍCIO!$B$5),1,0)</f>
        <v>0</v>
      </c>
      <c r="J62" t="str">
        <f t="shared" si="2"/>
        <v>Vulnerability (curse) + Heightened Curse.</v>
      </c>
      <c r="K62">
        <f t="shared" si="3"/>
        <v>58</v>
      </c>
    </row>
    <row r="63" spans="1:11" ht="33.950000000000003" customHeight="1" x14ac:dyDescent="0.25">
      <c r="A63" s="9">
        <v>60</v>
      </c>
      <c r="B63" s="10" t="s">
        <v>50</v>
      </c>
      <c r="C63" s="10" t="s">
        <v>28</v>
      </c>
      <c r="D63" s="10" t="s">
        <v>165</v>
      </c>
      <c r="E63" s="10" t="s">
        <v>166</v>
      </c>
      <c r="F63" s="10" t="s">
        <v>167</v>
      </c>
      <c r="G63" s="9" t="s">
        <v>94</v>
      </c>
      <c r="H63" s="10" t="s">
        <v>53</v>
      </c>
      <c r="I63" s="8">
        <f>IF(AND(C63&lt;&gt;"—",A63&gt;INÍCIO!$B$5),1,0)</f>
        <v>0</v>
      </c>
      <c r="J63" t="str">
        <f t="shared" si="2"/>
        <v>Vulnerability (curse) + Heightened Curse.</v>
      </c>
      <c r="K63">
        <f t="shared" si="3"/>
        <v>58</v>
      </c>
    </row>
    <row r="64" spans="1:11" ht="33.950000000000003" customHeight="1" x14ac:dyDescent="0.25">
      <c r="A64" s="7">
        <v>61</v>
      </c>
      <c r="B64" s="6" t="s">
        <v>50</v>
      </c>
      <c r="C64" s="6" t="s">
        <v>28</v>
      </c>
      <c r="D64" s="6" t="s">
        <v>165</v>
      </c>
      <c r="E64" s="6" t="s">
        <v>169</v>
      </c>
      <c r="F64" s="6" t="s">
        <v>170</v>
      </c>
      <c r="G64" s="7" t="s">
        <v>94</v>
      </c>
      <c r="H64" s="6" t="s">
        <v>53</v>
      </c>
      <c r="I64" s="8">
        <f>IF(AND(C64&lt;&gt;"—",A64&gt;INÍCIO!$B$5),1,0)</f>
        <v>0</v>
      </c>
      <c r="J64" t="str">
        <f t="shared" si="2"/>
        <v>Vulnerability (curse) + Heightened Curse.</v>
      </c>
      <c r="K64">
        <f t="shared" si="3"/>
        <v>58</v>
      </c>
    </row>
    <row r="65" spans="1:11" ht="33.950000000000003" customHeight="1" x14ac:dyDescent="0.25">
      <c r="A65" s="9">
        <v>62</v>
      </c>
      <c r="B65" s="10" t="s">
        <v>50</v>
      </c>
      <c r="C65" s="11" t="s">
        <v>171</v>
      </c>
      <c r="D65" s="10" t="s">
        <v>165</v>
      </c>
      <c r="E65" s="10" t="s">
        <v>164</v>
      </c>
      <c r="F65" s="10" t="s">
        <v>153</v>
      </c>
      <c r="G65" s="9" t="s">
        <v>94</v>
      </c>
      <c r="H65" s="10" t="s">
        <v>53</v>
      </c>
      <c r="I65" s="8">
        <f>IF(AND(C65&lt;&gt;"—",A65&gt;INÍCIO!$B$5),1,0)</f>
        <v>1</v>
      </c>
      <c r="J65" t="str">
        <f t="shared" si="2"/>
        <v>Kriar Village: Lythara (+40 Spirit).</v>
      </c>
      <c r="K65">
        <f t="shared" si="3"/>
        <v>62</v>
      </c>
    </row>
    <row r="66" spans="1:11" ht="33.950000000000003" customHeight="1" x14ac:dyDescent="0.25">
      <c r="A66" s="7">
        <v>63</v>
      </c>
      <c r="B66" s="6" t="s">
        <v>50</v>
      </c>
      <c r="C66" s="6" t="s">
        <v>28</v>
      </c>
      <c r="D66" s="6" t="s">
        <v>165</v>
      </c>
      <c r="E66" s="6" t="s">
        <v>166</v>
      </c>
      <c r="F66" s="6" t="s">
        <v>167</v>
      </c>
      <c r="G66" s="7" t="s">
        <v>94</v>
      </c>
      <c r="H66" s="6" t="s">
        <v>53</v>
      </c>
      <c r="I66" s="8">
        <f>IF(AND(C66&lt;&gt;"—",A66&gt;INÍCIO!$B$5),1,0)</f>
        <v>0</v>
      </c>
      <c r="J66" t="str">
        <f t="shared" si="2"/>
        <v>Kriar Village: Lythara (+40 Spirit).</v>
      </c>
      <c r="K66">
        <f t="shared" si="3"/>
        <v>62</v>
      </c>
    </row>
    <row r="67" spans="1:11" ht="33.950000000000003" customHeight="1" x14ac:dyDescent="0.25">
      <c r="A67" s="9">
        <v>64</v>
      </c>
      <c r="B67" s="10" t="s">
        <v>50</v>
      </c>
      <c r="C67" s="10" t="s">
        <v>28</v>
      </c>
      <c r="D67" s="10" t="s">
        <v>165</v>
      </c>
      <c r="E67" s="10" t="s">
        <v>169</v>
      </c>
      <c r="F67" s="10" t="s">
        <v>170</v>
      </c>
      <c r="G67" s="9" t="s">
        <v>94</v>
      </c>
      <c r="H67" s="10" t="s">
        <v>53</v>
      </c>
      <c r="I67" s="8">
        <f>IF(AND(C67&lt;&gt;"—",A67&gt;INÍCIO!$B$5),1,0)</f>
        <v>0</v>
      </c>
      <c r="J67" t="str">
        <f t="shared" si="2"/>
        <v>Kriar Village: Lythara (+40 Spirit).</v>
      </c>
      <c r="K67">
        <f t="shared" si="3"/>
        <v>62</v>
      </c>
    </row>
    <row r="68" spans="1:11" ht="33.950000000000003" customHeight="1" x14ac:dyDescent="0.25">
      <c r="A68" s="7">
        <v>65</v>
      </c>
      <c r="B68" s="6" t="s">
        <v>55</v>
      </c>
      <c r="C68" s="5" t="s">
        <v>172</v>
      </c>
      <c r="D68" s="6" t="s">
        <v>108</v>
      </c>
      <c r="E68" s="6" t="s">
        <v>173</v>
      </c>
      <c r="F68" s="6" t="s">
        <v>174</v>
      </c>
      <c r="G68" s="7" t="s">
        <v>94</v>
      </c>
      <c r="H68" s="6" t="s">
        <v>58</v>
      </c>
      <c r="I68" s="8">
        <f>IF(AND(C68&lt;&gt;"—",A68&gt;INÍCIO!$B$5),1,0)</f>
        <v>1</v>
      </c>
      <c r="J68" t="str">
        <f t="shared" si="2"/>
        <v>The Catha's Balance: o dano da sua arma vira dano dos companions.</v>
      </c>
      <c r="K68">
        <f t="shared" si="3"/>
        <v>65</v>
      </c>
    </row>
    <row r="69" spans="1:11" ht="33.950000000000003" customHeight="1" x14ac:dyDescent="0.25">
      <c r="A69" s="9">
        <v>66</v>
      </c>
      <c r="B69" s="10" t="s">
        <v>55</v>
      </c>
      <c r="C69" s="11" t="s">
        <v>175</v>
      </c>
      <c r="D69" s="10" t="s">
        <v>176</v>
      </c>
      <c r="E69" s="10" t="s">
        <v>177</v>
      </c>
      <c r="F69" s="10" t="s">
        <v>178</v>
      </c>
      <c r="G69" s="9" t="s">
        <v>94</v>
      </c>
      <c r="H69" s="10" t="s">
        <v>58</v>
      </c>
      <c r="I69" s="8">
        <f>IF(AND(C69&lt;&gt;"—",A69&gt;INÍCIO!$B$5),1,0)</f>
        <v>1</v>
      </c>
      <c r="J69" t="str">
        <f t="shared" ref="J69:J103" si="4">IF(C69&lt;&gt;"—",C69,J68)</f>
        <v>Chober Chaber na main-hand (se ainda estava na Trenchtimbre).</v>
      </c>
      <c r="K69">
        <f t="shared" ref="K69:K103" si="5">IF(C69&lt;&gt;"—",A69,K68)</f>
        <v>66</v>
      </c>
    </row>
    <row r="70" spans="1:11" ht="18.95" customHeight="1" x14ac:dyDescent="0.25">
      <c r="A70" s="7">
        <v>67</v>
      </c>
      <c r="B70" s="6" t="s">
        <v>55</v>
      </c>
      <c r="C70" s="6" t="s">
        <v>28</v>
      </c>
      <c r="D70" s="6" t="s">
        <v>176</v>
      </c>
      <c r="E70" s="6" t="s">
        <v>179</v>
      </c>
      <c r="F70" s="6" t="s">
        <v>180</v>
      </c>
      <c r="G70" s="7" t="s">
        <v>94</v>
      </c>
      <c r="H70" s="6" t="s">
        <v>58</v>
      </c>
      <c r="I70" s="8">
        <f>IF(AND(C70&lt;&gt;"—",A70&gt;INÍCIO!$B$5),1,0)</f>
        <v>0</v>
      </c>
      <c r="J70" t="str">
        <f t="shared" si="4"/>
        <v>Chober Chaber na main-hand (se ainda estava na Trenchtimbre).</v>
      </c>
      <c r="K70">
        <f t="shared" si="5"/>
        <v>66</v>
      </c>
    </row>
    <row r="71" spans="1:11" ht="33.950000000000003" customHeight="1" x14ac:dyDescent="0.25">
      <c r="A71" s="9">
        <v>68</v>
      </c>
      <c r="B71" s="10" t="s">
        <v>55</v>
      </c>
      <c r="C71" s="11" t="s">
        <v>181</v>
      </c>
      <c r="D71" s="10" t="s">
        <v>176</v>
      </c>
      <c r="E71" s="10" t="s">
        <v>173</v>
      </c>
      <c r="F71" s="10" t="s">
        <v>174</v>
      </c>
      <c r="G71" s="9" t="s">
        <v>94</v>
      </c>
      <c r="H71" s="10" t="s">
        <v>58</v>
      </c>
      <c r="I71" s="8">
        <f>IF(AND(C71&lt;&gt;"—",A71&gt;INÍCIO!$B$5),1,0)</f>
        <v>1</v>
      </c>
      <c r="J71" t="str">
        <f t="shared" si="4"/>
        <v>Despair + Skeletal Cleric + Refutation (armaduras Runeforged).</v>
      </c>
      <c r="K71">
        <f t="shared" si="5"/>
        <v>68</v>
      </c>
    </row>
    <row r="72" spans="1:11" ht="33.950000000000003" customHeight="1" x14ac:dyDescent="0.25">
      <c r="A72" s="7">
        <v>69</v>
      </c>
      <c r="B72" s="6" t="s">
        <v>55</v>
      </c>
      <c r="C72" s="6" t="s">
        <v>28</v>
      </c>
      <c r="D72" s="6" t="s">
        <v>176</v>
      </c>
      <c r="E72" s="6" t="s">
        <v>177</v>
      </c>
      <c r="F72" s="6" t="s">
        <v>178</v>
      </c>
      <c r="G72" s="7" t="s">
        <v>94</v>
      </c>
      <c r="H72" s="6" t="s">
        <v>58</v>
      </c>
      <c r="I72" s="8">
        <f>IF(AND(C72&lt;&gt;"—",A72&gt;INÍCIO!$B$5),1,0)</f>
        <v>0</v>
      </c>
      <c r="J72" t="str">
        <f t="shared" si="4"/>
        <v>Despair + Skeletal Cleric + Refutation (armaduras Runeforged).</v>
      </c>
      <c r="K72">
        <f t="shared" si="5"/>
        <v>68</v>
      </c>
    </row>
    <row r="73" spans="1:11" ht="18.95" customHeight="1" x14ac:dyDescent="0.25">
      <c r="A73" s="9">
        <v>70</v>
      </c>
      <c r="B73" s="10" t="s">
        <v>55</v>
      </c>
      <c r="C73" s="10" t="s">
        <v>28</v>
      </c>
      <c r="D73" s="10" t="s">
        <v>176</v>
      </c>
      <c r="E73" s="10" t="s">
        <v>179</v>
      </c>
      <c r="F73" s="10" t="s">
        <v>180</v>
      </c>
      <c r="G73" s="9" t="s">
        <v>94</v>
      </c>
      <c r="H73" s="10" t="s">
        <v>58</v>
      </c>
      <c r="I73" s="8">
        <f>IF(AND(C73&lt;&gt;"—",A73&gt;INÍCIO!$B$5),1,0)</f>
        <v>0</v>
      </c>
      <c r="J73" t="str">
        <f t="shared" si="4"/>
        <v>Despair + Skeletal Cleric + Refutation (armaduras Runeforged).</v>
      </c>
      <c r="K73">
        <f t="shared" si="5"/>
        <v>68</v>
      </c>
    </row>
    <row r="74" spans="1:11" ht="33.950000000000003" customHeight="1" x14ac:dyDescent="0.25">
      <c r="A74" s="7">
        <v>71</v>
      </c>
      <c r="B74" s="6" t="s">
        <v>55</v>
      </c>
      <c r="C74" s="6" t="s">
        <v>28</v>
      </c>
      <c r="D74" s="6" t="s">
        <v>176</v>
      </c>
      <c r="E74" s="6" t="s">
        <v>173</v>
      </c>
      <c r="F74" s="6" t="s">
        <v>174</v>
      </c>
      <c r="G74" s="7" t="s">
        <v>94</v>
      </c>
      <c r="H74" s="6" t="s">
        <v>58</v>
      </c>
      <c r="I74" s="8">
        <f>IF(AND(C74&lt;&gt;"—",A74&gt;INÍCIO!$B$5),1,0)</f>
        <v>0</v>
      </c>
      <c r="J74" t="str">
        <f t="shared" si="4"/>
        <v>Despair + Skeletal Cleric + Refutation (armaduras Runeforged).</v>
      </c>
      <c r="K74">
        <f t="shared" si="5"/>
        <v>68</v>
      </c>
    </row>
    <row r="75" spans="1:11" ht="33.950000000000003" customHeight="1" x14ac:dyDescent="0.25">
      <c r="A75" s="9">
        <v>72</v>
      </c>
      <c r="B75" s="10" t="s">
        <v>55</v>
      </c>
      <c r="C75" s="11" t="s">
        <v>182</v>
      </c>
      <c r="D75" s="10" t="s">
        <v>176</v>
      </c>
      <c r="E75" s="10" t="s">
        <v>177</v>
      </c>
      <c r="F75" s="10" t="s">
        <v>178</v>
      </c>
      <c r="G75" s="9" t="s">
        <v>94</v>
      </c>
      <c r="H75" s="10" t="s">
        <v>58</v>
      </c>
      <c r="I75" s="8">
        <f>IF(AND(C75&lt;&gt;"—",A75&gt;INÍCIO!$B$5),1,0)</f>
        <v>1</v>
      </c>
      <c r="J75" t="str">
        <f t="shared" si="4"/>
        <v>Caça ao Zekoa (Riverside/Rupture + tablets de mod extra).</v>
      </c>
      <c r="K75">
        <f t="shared" si="5"/>
        <v>72</v>
      </c>
    </row>
    <row r="76" spans="1:11" ht="18.95" customHeight="1" x14ac:dyDescent="0.25">
      <c r="A76" s="7">
        <v>73</v>
      </c>
      <c r="B76" s="6" t="s">
        <v>55</v>
      </c>
      <c r="C76" s="6" t="s">
        <v>28</v>
      </c>
      <c r="D76" s="6" t="s">
        <v>176</v>
      </c>
      <c r="E76" s="6" t="s">
        <v>179</v>
      </c>
      <c r="F76" s="6" t="s">
        <v>180</v>
      </c>
      <c r="G76" s="7" t="s">
        <v>94</v>
      </c>
      <c r="H76" s="6" t="s">
        <v>58</v>
      </c>
      <c r="I76" s="8">
        <f>IF(AND(C76&lt;&gt;"—",A76&gt;INÍCIO!$B$5),1,0)</f>
        <v>0</v>
      </c>
      <c r="J76" t="str">
        <f t="shared" si="4"/>
        <v>Caça ao Zekoa (Riverside/Rupture + tablets de mod extra).</v>
      </c>
      <c r="K76">
        <f t="shared" si="5"/>
        <v>72</v>
      </c>
    </row>
    <row r="77" spans="1:11" ht="33.950000000000003" customHeight="1" x14ac:dyDescent="0.25">
      <c r="A77" s="9">
        <v>74</v>
      </c>
      <c r="B77" s="10" t="s">
        <v>55</v>
      </c>
      <c r="C77" s="10" t="s">
        <v>28</v>
      </c>
      <c r="D77" s="10" t="s">
        <v>176</v>
      </c>
      <c r="E77" s="10" t="s">
        <v>173</v>
      </c>
      <c r="F77" s="10" t="s">
        <v>174</v>
      </c>
      <c r="G77" s="9" t="s">
        <v>94</v>
      </c>
      <c r="H77" s="10" t="s">
        <v>58</v>
      </c>
      <c r="I77" s="8">
        <f>IF(AND(C77&lt;&gt;"—",A77&gt;INÍCIO!$B$5),1,0)</f>
        <v>0</v>
      </c>
      <c r="J77" t="str">
        <f t="shared" si="4"/>
        <v>Caça ao Zekoa (Riverside/Rupture + tablets de mod extra).</v>
      </c>
      <c r="K77">
        <f t="shared" si="5"/>
        <v>72</v>
      </c>
    </row>
    <row r="78" spans="1:11" ht="33.950000000000003" customHeight="1" x14ac:dyDescent="0.25">
      <c r="A78" s="7">
        <v>75</v>
      </c>
      <c r="B78" s="6" t="s">
        <v>55</v>
      </c>
      <c r="C78" s="5" t="s">
        <v>183</v>
      </c>
      <c r="D78" s="6" t="s">
        <v>176</v>
      </c>
      <c r="E78" s="6" t="s">
        <v>177</v>
      </c>
      <c r="F78" s="6" t="s">
        <v>178</v>
      </c>
      <c r="G78" s="7" t="s">
        <v>94</v>
      </c>
      <c r="H78" s="6" t="s">
        <v>58</v>
      </c>
      <c r="I78" s="8">
        <f>IF(AND(C78&lt;&gt;"—",A78&gt;INÍCIO!$B$5),1,0)</f>
        <v>1</v>
      </c>
      <c r="J78" t="str">
        <f t="shared" si="4"/>
        <v>Giant's Blood na árvore (ou Flesh Crucible) — solte a Treefingers se quiser outras luvas.</v>
      </c>
      <c r="K78">
        <f t="shared" si="5"/>
        <v>75</v>
      </c>
    </row>
    <row r="79" spans="1:11" ht="18.95" customHeight="1" x14ac:dyDescent="0.25">
      <c r="A79" s="9">
        <v>76</v>
      </c>
      <c r="B79" s="10" t="s">
        <v>55</v>
      </c>
      <c r="C79" s="10" t="s">
        <v>28</v>
      </c>
      <c r="D79" s="10" t="s">
        <v>176</v>
      </c>
      <c r="E79" s="10" t="s">
        <v>179</v>
      </c>
      <c r="F79" s="10" t="s">
        <v>180</v>
      </c>
      <c r="G79" s="9" t="s">
        <v>94</v>
      </c>
      <c r="H79" s="10" t="s">
        <v>58</v>
      </c>
      <c r="I79" s="8">
        <f>IF(AND(C79&lt;&gt;"—",A79&gt;INÍCIO!$B$5),1,0)</f>
        <v>0</v>
      </c>
      <c r="J79" t="str">
        <f t="shared" si="4"/>
        <v>Giant's Blood na árvore (ou Flesh Crucible) — solte a Treefingers se quiser outras luvas.</v>
      </c>
      <c r="K79">
        <f t="shared" si="5"/>
        <v>75</v>
      </c>
    </row>
    <row r="80" spans="1:11" ht="33.950000000000003" customHeight="1" x14ac:dyDescent="0.25">
      <c r="A80" s="7">
        <v>77</v>
      </c>
      <c r="B80" s="6" t="s">
        <v>55</v>
      </c>
      <c r="C80" s="6" t="s">
        <v>28</v>
      </c>
      <c r="D80" s="6" t="s">
        <v>176</v>
      </c>
      <c r="E80" s="6" t="s">
        <v>173</v>
      </c>
      <c r="F80" s="6" t="s">
        <v>174</v>
      </c>
      <c r="G80" s="7" t="s">
        <v>94</v>
      </c>
      <c r="H80" s="6" t="s">
        <v>58</v>
      </c>
      <c r="I80" s="8">
        <f>IF(AND(C80&lt;&gt;"—",A80&gt;INÍCIO!$B$5),1,0)</f>
        <v>0</v>
      </c>
      <c r="J80" t="str">
        <f t="shared" si="4"/>
        <v>Giant's Blood na árvore (ou Flesh Crucible) — solte a Treefingers se quiser outras luvas.</v>
      </c>
      <c r="K80">
        <f t="shared" si="5"/>
        <v>75</v>
      </c>
    </row>
    <row r="81" spans="1:11" ht="33.950000000000003" customHeight="1" x14ac:dyDescent="0.25">
      <c r="A81" s="9">
        <v>78</v>
      </c>
      <c r="B81" s="10" t="s">
        <v>61</v>
      </c>
      <c r="C81" s="11" t="s">
        <v>184</v>
      </c>
      <c r="D81" s="10" t="s">
        <v>109</v>
      </c>
      <c r="E81" s="10" t="s">
        <v>185</v>
      </c>
      <c r="F81" s="10" t="s">
        <v>186</v>
      </c>
      <c r="G81" s="9" t="s">
        <v>94</v>
      </c>
      <c r="H81" s="10" t="s">
        <v>64</v>
      </c>
      <c r="I81" s="8">
        <f>IF(AND(C81&lt;&gt;"—",A81&gt;INÍCIO!$B$5),1,0)</f>
        <v>1</v>
      </c>
      <c r="J81" t="str">
        <f t="shared" si="4"/>
        <v>Sylvan's Effigy (~1 div): Azmerian Wolf, Discipline, companions ilimitados.</v>
      </c>
      <c r="K81">
        <f t="shared" si="5"/>
        <v>78</v>
      </c>
    </row>
    <row r="82" spans="1:11" ht="18.95" customHeight="1" x14ac:dyDescent="0.25">
      <c r="A82" s="7">
        <v>79</v>
      </c>
      <c r="B82" s="6" t="s">
        <v>61</v>
      </c>
      <c r="C82" s="6" t="s">
        <v>28</v>
      </c>
      <c r="D82" s="6" t="s">
        <v>187</v>
      </c>
      <c r="E82" s="6" t="s">
        <v>188</v>
      </c>
      <c r="F82" s="6" t="s">
        <v>189</v>
      </c>
      <c r="G82" s="7" t="s">
        <v>94</v>
      </c>
      <c r="H82" s="6" t="s">
        <v>64</v>
      </c>
      <c r="I82" s="8">
        <f>IF(AND(C82&lt;&gt;"—",A82&gt;INÍCIO!$B$5),1,0)</f>
        <v>0</v>
      </c>
      <c r="J82" t="str">
        <f t="shared" si="4"/>
        <v>Sylvan's Effigy (~1 div): Azmerian Wolf, Discipline, companions ilimitados.</v>
      </c>
      <c r="K82">
        <f t="shared" si="5"/>
        <v>78</v>
      </c>
    </row>
    <row r="83" spans="1:11" ht="33.950000000000003" customHeight="1" x14ac:dyDescent="0.25">
      <c r="A83" s="9">
        <v>80</v>
      </c>
      <c r="B83" s="10" t="s">
        <v>61</v>
      </c>
      <c r="C83" s="11" t="s">
        <v>190</v>
      </c>
      <c r="D83" s="10" t="s">
        <v>187</v>
      </c>
      <c r="E83" s="10" t="s">
        <v>191</v>
      </c>
      <c r="F83" s="10" t="s">
        <v>192</v>
      </c>
      <c r="G83" s="9" t="s">
        <v>94</v>
      </c>
      <c r="H83" s="10" t="s">
        <v>64</v>
      </c>
      <c r="I83" s="8">
        <f>IF(AND(C83&lt;&gt;"—",A83&gt;INÍCIO!$B$5),1,0)</f>
        <v>1</v>
      </c>
      <c r="J83" t="str">
        <f t="shared" si="4"/>
        <v>Forgotten Warden: Spirit Vessel com Furious Slam + Arctic Howl.</v>
      </c>
      <c r="K83">
        <f t="shared" si="5"/>
        <v>80</v>
      </c>
    </row>
    <row r="84" spans="1:11" ht="33.950000000000003" customHeight="1" x14ac:dyDescent="0.25">
      <c r="A84" s="7">
        <v>81</v>
      </c>
      <c r="B84" s="6" t="s">
        <v>61</v>
      </c>
      <c r="C84" s="6" t="s">
        <v>28</v>
      </c>
      <c r="D84" s="6" t="s">
        <v>187</v>
      </c>
      <c r="E84" s="6" t="s">
        <v>193</v>
      </c>
      <c r="F84" s="6" t="s">
        <v>186</v>
      </c>
      <c r="G84" s="7" t="s">
        <v>94</v>
      </c>
      <c r="H84" s="6" t="s">
        <v>64</v>
      </c>
      <c r="I84" s="8">
        <f>IF(AND(C84&lt;&gt;"—",A84&gt;INÍCIO!$B$5),1,0)</f>
        <v>0</v>
      </c>
      <c r="J84" t="str">
        <f t="shared" si="4"/>
        <v>Forgotten Warden: Spirit Vessel com Furious Slam + Arctic Howl.</v>
      </c>
      <c r="K84">
        <f t="shared" si="5"/>
        <v>80</v>
      </c>
    </row>
    <row r="85" spans="1:11" ht="33.950000000000003" customHeight="1" x14ac:dyDescent="0.25">
      <c r="A85" s="9">
        <v>82</v>
      </c>
      <c r="B85" s="10" t="s">
        <v>61</v>
      </c>
      <c r="C85" s="11" t="s">
        <v>194</v>
      </c>
      <c r="D85" s="10" t="s">
        <v>187</v>
      </c>
      <c r="E85" s="10" t="s">
        <v>185</v>
      </c>
      <c r="F85" s="10" t="s">
        <v>189</v>
      </c>
      <c r="G85" s="9" t="s">
        <v>94</v>
      </c>
      <c r="H85" s="10" t="s">
        <v>64</v>
      </c>
      <c r="I85" s="8">
        <f>IF(AND(C85&lt;&gt;"—",A85&gt;INÍCIO!$B$5),1,0)</f>
        <v>1</v>
      </c>
      <c r="J85" t="str">
        <f t="shared" si="4"/>
        <v>Skeletal Cleric vira alvo do Pain Offering (Sacrificial Lamb II + Brutus' Brain no Pain Offering).</v>
      </c>
      <c r="K85">
        <f t="shared" si="5"/>
        <v>82</v>
      </c>
    </row>
    <row r="86" spans="1:11" ht="18.95" customHeight="1" x14ac:dyDescent="0.25">
      <c r="A86" s="7">
        <v>83</v>
      </c>
      <c r="B86" s="6" t="s">
        <v>61</v>
      </c>
      <c r="C86" s="6" t="s">
        <v>28</v>
      </c>
      <c r="D86" s="6" t="s">
        <v>187</v>
      </c>
      <c r="E86" s="6" t="s">
        <v>188</v>
      </c>
      <c r="F86" s="6" t="s">
        <v>192</v>
      </c>
      <c r="G86" s="7" t="s">
        <v>94</v>
      </c>
      <c r="H86" s="6" t="s">
        <v>64</v>
      </c>
      <c r="I86" s="8">
        <f>IF(AND(C86&lt;&gt;"—",A86&gt;INÍCIO!$B$5),1,0)</f>
        <v>0</v>
      </c>
      <c r="J86" t="str">
        <f t="shared" si="4"/>
        <v>Skeletal Cleric vira alvo do Pain Offering (Sacrificial Lamb II + Brutus' Brain no Pain Offering).</v>
      </c>
      <c r="K86">
        <f t="shared" si="5"/>
        <v>82</v>
      </c>
    </row>
    <row r="87" spans="1:11" ht="33.950000000000003" customHeight="1" x14ac:dyDescent="0.25">
      <c r="A87" s="9">
        <v>84</v>
      </c>
      <c r="B87" s="10" t="s">
        <v>61</v>
      </c>
      <c r="C87" s="11" t="s">
        <v>195</v>
      </c>
      <c r="D87" s="10" t="s">
        <v>187</v>
      </c>
      <c r="E87" s="10" t="s">
        <v>191</v>
      </c>
      <c r="F87" s="10" t="s">
        <v>186</v>
      </c>
      <c r="G87" s="9" t="s">
        <v>94</v>
      </c>
      <c r="H87" s="10" t="s">
        <v>64</v>
      </c>
      <c r="I87" s="8">
        <f>IF(AND(C87&lt;&gt;"—",A87&gt;INÍCIO!$B$5),1,0)</f>
        <v>1</v>
      </c>
      <c r="J87" t="str">
        <f t="shared" si="4"/>
        <v>Mace Strike + Einhar's Beastrite; Spiteful Floret no weapon set 2.</v>
      </c>
      <c r="K87">
        <f t="shared" si="5"/>
        <v>84</v>
      </c>
    </row>
    <row r="88" spans="1:11" ht="33.950000000000003" customHeight="1" x14ac:dyDescent="0.25">
      <c r="A88" s="7">
        <v>85</v>
      </c>
      <c r="B88" s="6" t="s">
        <v>61</v>
      </c>
      <c r="C88" s="6" t="s">
        <v>28</v>
      </c>
      <c r="D88" s="6" t="s">
        <v>187</v>
      </c>
      <c r="E88" s="6" t="s">
        <v>193</v>
      </c>
      <c r="F88" s="6" t="s">
        <v>189</v>
      </c>
      <c r="G88" s="7" t="s">
        <v>94</v>
      </c>
      <c r="H88" s="6" t="s">
        <v>64</v>
      </c>
      <c r="I88" s="8">
        <f>IF(AND(C88&lt;&gt;"—",A88&gt;INÍCIO!$B$5),1,0)</f>
        <v>0</v>
      </c>
      <c r="J88" t="str">
        <f t="shared" si="4"/>
        <v>Mace Strike + Einhar's Beastrite; Spiteful Floret no weapon set 2.</v>
      </c>
      <c r="K88">
        <f t="shared" si="5"/>
        <v>84</v>
      </c>
    </row>
    <row r="89" spans="1:11" ht="18.95" customHeight="1" x14ac:dyDescent="0.25">
      <c r="A89" s="9">
        <v>86</v>
      </c>
      <c r="B89" s="10" t="s">
        <v>61</v>
      </c>
      <c r="C89" s="11" t="s">
        <v>196</v>
      </c>
      <c r="D89" s="10" t="s">
        <v>187</v>
      </c>
      <c r="E89" s="10" t="s">
        <v>185</v>
      </c>
      <c r="F89" s="10" t="s">
        <v>192</v>
      </c>
      <c r="G89" s="9" t="s">
        <v>94</v>
      </c>
      <c r="H89" s="10" t="s">
        <v>64</v>
      </c>
      <c r="I89" s="8">
        <f>IF(AND(C89&lt;&gt;"—",A89&gt;INÍCIO!$B$5),1,0)</f>
        <v>1</v>
      </c>
      <c r="J89" t="str">
        <f t="shared" si="4"/>
        <v>3 aura bots (Haste/Physical/ES).</v>
      </c>
      <c r="K89">
        <f t="shared" si="5"/>
        <v>86</v>
      </c>
    </row>
    <row r="90" spans="1:11" ht="18.95" customHeight="1" x14ac:dyDescent="0.25">
      <c r="A90" s="7">
        <v>87</v>
      </c>
      <c r="B90" s="6" t="s">
        <v>61</v>
      </c>
      <c r="C90" s="6" t="s">
        <v>28</v>
      </c>
      <c r="D90" s="6" t="s">
        <v>187</v>
      </c>
      <c r="E90" s="6" t="s">
        <v>188</v>
      </c>
      <c r="F90" s="6" t="s">
        <v>186</v>
      </c>
      <c r="G90" s="7" t="s">
        <v>94</v>
      </c>
      <c r="H90" s="6" t="s">
        <v>64</v>
      </c>
      <c r="I90" s="8">
        <f>IF(AND(C90&lt;&gt;"—",A90&gt;INÍCIO!$B$5),1,0)</f>
        <v>0</v>
      </c>
      <c r="J90" t="str">
        <f t="shared" si="4"/>
        <v>3 aura bots (Haste/Physical/ES).</v>
      </c>
      <c r="K90">
        <f t="shared" si="5"/>
        <v>86</v>
      </c>
    </row>
    <row r="91" spans="1:11" ht="33.950000000000003" customHeight="1" x14ac:dyDescent="0.25">
      <c r="A91" s="9">
        <v>88</v>
      </c>
      <c r="B91" s="10" t="s">
        <v>61</v>
      </c>
      <c r="C91" s="10" t="s">
        <v>28</v>
      </c>
      <c r="D91" s="10" t="s">
        <v>187</v>
      </c>
      <c r="E91" s="10" t="s">
        <v>191</v>
      </c>
      <c r="F91" s="10" t="s">
        <v>189</v>
      </c>
      <c r="G91" s="9" t="s">
        <v>94</v>
      </c>
      <c r="H91" s="10" t="s">
        <v>64</v>
      </c>
      <c r="I91" s="8">
        <f>IF(AND(C91&lt;&gt;"—",A91&gt;INÍCIO!$B$5),1,0)</f>
        <v>0</v>
      </c>
      <c r="J91" t="str">
        <f t="shared" si="4"/>
        <v>3 aura bots (Haste/Physical/ES).</v>
      </c>
      <c r="K91">
        <f t="shared" si="5"/>
        <v>86</v>
      </c>
    </row>
    <row r="92" spans="1:11" ht="33.950000000000003" customHeight="1" x14ac:dyDescent="0.25">
      <c r="A92" s="7">
        <v>89</v>
      </c>
      <c r="B92" s="6" t="s">
        <v>61</v>
      </c>
      <c r="C92" s="6" t="s">
        <v>28</v>
      </c>
      <c r="D92" s="6" t="s">
        <v>187</v>
      </c>
      <c r="E92" s="6" t="s">
        <v>193</v>
      </c>
      <c r="F92" s="6" t="s">
        <v>192</v>
      </c>
      <c r="G92" s="7" t="s">
        <v>94</v>
      </c>
      <c r="H92" s="6" t="s">
        <v>64</v>
      </c>
      <c r="I92" s="8">
        <f>IF(AND(C92&lt;&gt;"—",A92&gt;INÍCIO!$B$5),1,0)</f>
        <v>0</v>
      </c>
      <c r="J92" t="str">
        <f t="shared" si="4"/>
        <v>3 aura bots (Haste/Physical/ES).</v>
      </c>
      <c r="K92">
        <f t="shared" si="5"/>
        <v>86</v>
      </c>
    </row>
    <row r="93" spans="1:11" ht="33.950000000000003" customHeight="1" x14ac:dyDescent="0.25">
      <c r="A93" s="9">
        <v>90</v>
      </c>
      <c r="B93" s="10" t="s">
        <v>67</v>
      </c>
      <c r="C93" s="11" t="s">
        <v>197</v>
      </c>
      <c r="D93" s="10" t="s">
        <v>110</v>
      </c>
      <c r="E93" s="10" t="s">
        <v>198</v>
      </c>
      <c r="F93" s="10" t="s">
        <v>199</v>
      </c>
      <c r="G93" s="9" t="s">
        <v>94</v>
      </c>
      <c r="H93" s="10" t="s">
        <v>70</v>
      </c>
      <c r="I93" s="8">
        <f>IF(AND(C93&lt;&gt;"—",A93&gt;INÍCIO!$B$5),1,0)</f>
        <v>1</v>
      </c>
      <c r="J93" t="str">
        <f t="shared" si="4"/>
        <v>Mind Over Matter + Lavianga's Spirits.</v>
      </c>
      <c r="K93">
        <f t="shared" si="5"/>
        <v>90</v>
      </c>
    </row>
    <row r="94" spans="1:11" ht="48.95" customHeight="1" x14ac:dyDescent="0.25">
      <c r="A94" s="7">
        <v>91</v>
      </c>
      <c r="B94" s="6" t="s">
        <v>67</v>
      </c>
      <c r="C94" s="6" t="s">
        <v>28</v>
      </c>
      <c r="D94" s="6" t="s">
        <v>200</v>
      </c>
      <c r="E94" s="6" t="s">
        <v>201</v>
      </c>
      <c r="F94" s="6" t="s">
        <v>202</v>
      </c>
      <c r="G94" s="7" t="s">
        <v>94</v>
      </c>
      <c r="H94" s="6" t="s">
        <v>70</v>
      </c>
      <c r="I94" s="8">
        <f>IF(AND(C94&lt;&gt;"—",A94&gt;INÍCIO!$B$5),1,0)</f>
        <v>0</v>
      </c>
      <c r="J94" t="str">
        <f t="shared" si="4"/>
        <v>Mind Over Matter + Lavianga's Spirits.</v>
      </c>
      <c r="K94">
        <f t="shared" si="5"/>
        <v>90</v>
      </c>
    </row>
    <row r="95" spans="1:11" ht="33.950000000000003" customHeight="1" x14ac:dyDescent="0.25">
      <c r="A95" s="9">
        <v>92</v>
      </c>
      <c r="B95" s="10" t="s">
        <v>67</v>
      </c>
      <c r="C95" s="10" t="s">
        <v>28</v>
      </c>
      <c r="D95" s="10" t="s">
        <v>200</v>
      </c>
      <c r="E95" s="10" t="s">
        <v>198</v>
      </c>
      <c r="F95" s="10" t="s">
        <v>203</v>
      </c>
      <c r="G95" s="9" t="s">
        <v>94</v>
      </c>
      <c r="H95" s="10" t="s">
        <v>70</v>
      </c>
      <c r="I95" s="8">
        <f>IF(AND(C95&lt;&gt;"—",A95&gt;INÍCIO!$B$5),1,0)</f>
        <v>0</v>
      </c>
      <c r="J95" t="str">
        <f t="shared" si="4"/>
        <v>Mind Over Matter + Lavianga's Spirits.</v>
      </c>
      <c r="K95">
        <f t="shared" si="5"/>
        <v>90</v>
      </c>
    </row>
    <row r="96" spans="1:11" ht="33.950000000000003" customHeight="1" x14ac:dyDescent="0.25">
      <c r="A96" s="7">
        <v>93</v>
      </c>
      <c r="B96" s="6" t="s">
        <v>67</v>
      </c>
      <c r="C96" s="6" t="s">
        <v>28</v>
      </c>
      <c r="D96" s="6" t="s">
        <v>200</v>
      </c>
      <c r="E96" s="6" t="s">
        <v>201</v>
      </c>
      <c r="F96" s="6" t="s">
        <v>199</v>
      </c>
      <c r="G96" s="7" t="s">
        <v>94</v>
      </c>
      <c r="H96" s="6" t="s">
        <v>70</v>
      </c>
      <c r="I96" s="8">
        <f>IF(AND(C96&lt;&gt;"—",A96&gt;INÍCIO!$B$5),1,0)</f>
        <v>0</v>
      </c>
      <c r="J96" t="str">
        <f t="shared" si="4"/>
        <v>Mind Over Matter + Lavianga's Spirits.</v>
      </c>
      <c r="K96">
        <f t="shared" si="5"/>
        <v>90</v>
      </c>
    </row>
    <row r="97" spans="1:11" ht="48.95" customHeight="1" x14ac:dyDescent="0.25">
      <c r="A97" s="9">
        <v>94</v>
      </c>
      <c r="B97" s="10" t="s">
        <v>67</v>
      </c>
      <c r="C97" s="10" t="s">
        <v>28</v>
      </c>
      <c r="D97" s="10" t="s">
        <v>200</v>
      </c>
      <c r="E97" s="10" t="s">
        <v>198</v>
      </c>
      <c r="F97" s="10" t="s">
        <v>202</v>
      </c>
      <c r="G97" s="9" t="s">
        <v>94</v>
      </c>
      <c r="H97" s="10" t="s">
        <v>70</v>
      </c>
      <c r="I97" s="8">
        <f>IF(AND(C97&lt;&gt;"—",A97&gt;INÍCIO!$B$5),1,0)</f>
        <v>0</v>
      </c>
      <c r="J97" t="str">
        <f t="shared" si="4"/>
        <v>Mind Over Matter + Lavianga's Spirits.</v>
      </c>
      <c r="K97">
        <f t="shared" si="5"/>
        <v>90</v>
      </c>
    </row>
    <row r="98" spans="1:11" ht="33.950000000000003" customHeight="1" x14ac:dyDescent="0.25">
      <c r="A98" s="7">
        <v>95</v>
      </c>
      <c r="B98" s="6" t="s">
        <v>67</v>
      </c>
      <c r="C98" s="5" t="s">
        <v>204</v>
      </c>
      <c r="D98" s="6" t="s">
        <v>200</v>
      </c>
      <c r="E98" s="6" t="s">
        <v>201</v>
      </c>
      <c r="F98" s="6" t="s">
        <v>203</v>
      </c>
      <c r="G98" s="7" t="s">
        <v>94</v>
      </c>
      <c r="H98" s="6" t="s">
        <v>70</v>
      </c>
      <c r="I98" s="8">
        <f>IF(AND(C98&lt;&gt;"—",A98&gt;INÍCIO!$B$5),1,0)</f>
        <v>1</v>
      </c>
      <c r="J98" t="str">
        <f t="shared" si="4"/>
        <v>Mageblood / Kalandra's Touch (luxo).</v>
      </c>
      <c r="K98">
        <f t="shared" si="5"/>
        <v>95</v>
      </c>
    </row>
    <row r="99" spans="1:11" ht="33.950000000000003" customHeight="1" x14ac:dyDescent="0.25">
      <c r="A99" s="9">
        <v>96</v>
      </c>
      <c r="B99" s="10" t="s">
        <v>67</v>
      </c>
      <c r="C99" s="10" t="s">
        <v>28</v>
      </c>
      <c r="D99" s="10" t="s">
        <v>200</v>
      </c>
      <c r="E99" s="10" t="s">
        <v>198</v>
      </c>
      <c r="F99" s="10" t="s">
        <v>199</v>
      </c>
      <c r="G99" s="9" t="s">
        <v>94</v>
      </c>
      <c r="H99" s="10" t="s">
        <v>70</v>
      </c>
      <c r="I99" s="8">
        <f>IF(AND(C99&lt;&gt;"—",A99&gt;INÍCIO!$B$5),1,0)</f>
        <v>0</v>
      </c>
      <c r="J99" t="str">
        <f t="shared" si="4"/>
        <v>Mageblood / Kalandra's Touch (luxo).</v>
      </c>
      <c r="K99">
        <f t="shared" si="5"/>
        <v>95</v>
      </c>
    </row>
    <row r="100" spans="1:11" ht="48.95" customHeight="1" x14ac:dyDescent="0.25">
      <c r="A100" s="7">
        <v>97</v>
      </c>
      <c r="B100" s="6" t="s">
        <v>67</v>
      </c>
      <c r="C100" s="6" t="s">
        <v>28</v>
      </c>
      <c r="D100" s="6" t="s">
        <v>200</v>
      </c>
      <c r="E100" s="6" t="s">
        <v>201</v>
      </c>
      <c r="F100" s="6" t="s">
        <v>202</v>
      </c>
      <c r="G100" s="7" t="s">
        <v>94</v>
      </c>
      <c r="H100" s="6" t="s">
        <v>70</v>
      </c>
      <c r="I100" s="8">
        <f>IF(AND(C100&lt;&gt;"—",A100&gt;INÍCIO!$B$5),1,0)</f>
        <v>0</v>
      </c>
      <c r="J100" t="str">
        <f t="shared" si="4"/>
        <v>Mageblood / Kalandra's Touch (luxo).</v>
      </c>
      <c r="K100">
        <f t="shared" si="5"/>
        <v>95</v>
      </c>
    </row>
    <row r="101" spans="1:11" ht="33.950000000000003" customHeight="1" x14ac:dyDescent="0.25">
      <c r="A101" s="9">
        <v>98</v>
      </c>
      <c r="B101" s="10" t="s">
        <v>67</v>
      </c>
      <c r="C101" s="10" t="s">
        <v>28</v>
      </c>
      <c r="D101" s="10" t="s">
        <v>200</v>
      </c>
      <c r="E101" s="10" t="s">
        <v>198</v>
      </c>
      <c r="F101" s="10" t="s">
        <v>203</v>
      </c>
      <c r="G101" s="9" t="s">
        <v>94</v>
      </c>
      <c r="H101" s="10" t="s">
        <v>70</v>
      </c>
      <c r="I101" s="8">
        <f>IF(AND(C101&lt;&gt;"—",A101&gt;INÍCIO!$B$5),1,0)</f>
        <v>0</v>
      </c>
      <c r="J101" t="str">
        <f t="shared" si="4"/>
        <v>Mageblood / Kalandra's Touch (luxo).</v>
      </c>
      <c r="K101">
        <f t="shared" si="5"/>
        <v>95</v>
      </c>
    </row>
    <row r="102" spans="1:11" ht="33.950000000000003" customHeight="1" x14ac:dyDescent="0.25">
      <c r="A102" s="7">
        <v>99</v>
      </c>
      <c r="B102" s="6" t="s">
        <v>67</v>
      </c>
      <c r="C102" s="6" t="s">
        <v>28</v>
      </c>
      <c r="D102" s="6" t="s">
        <v>200</v>
      </c>
      <c r="E102" s="6" t="s">
        <v>201</v>
      </c>
      <c r="F102" s="6" t="s">
        <v>199</v>
      </c>
      <c r="G102" s="7" t="s">
        <v>94</v>
      </c>
      <c r="H102" s="6" t="s">
        <v>70</v>
      </c>
      <c r="I102" s="8">
        <f>IF(AND(C102&lt;&gt;"—",A102&gt;INÍCIO!$B$5),1,0)</f>
        <v>0</v>
      </c>
      <c r="J102" t="str">
        <f t="shared" si="4"/>
        <v>Mageblood / Kalandra's Touch (luxo).</v>
      </c>
      <c r="K102">
        <f t="shared" si="5"/>
        <v>95</v>
      </c>
    </row>
    <row r="103" spans="1:11" ht="48.95" customHeight="1" x14ac:dyDescent="0.25">
      <c r="A103" s="9">
        <v>100</v>
      </c>
      <c r="B103" s="10" t="s">
        <v>67</v>
      </c>
      <c r="C103" s="11" t="s">
        <v>205</v>
      </c>
      <c r="D103" s="10" t="s">
        <v>200</v>
      </c>
      <c r="E103" s="10" t="s">
        <v>198</v>
      </c>
      <c r="F103" s="10" t="s">
        <v>202</v>
      </c>
      <c r="G103" s="9" t="s">
        <v>94</v>
      </c>
      <c r="H103" s="10" t="s">
        <v>70</v>
      </c>
      <c r="I103" s="8">
        <f>IF(AND(C103&lt;&gt;"—",A103&gt;INÍCIO!$B$5),1,0)</f>
        <v>1</v>
      </c>
      <c r="J103" t="str">
        <f t="shared" si="4"/>
        <v>Uber Arbiter.</v>
      </c>
      <c r="K103">
        <f t="shared" si="5"/>
        <v>100</v>
      </c>
    </row>
  </sheetData>
  <autoFilter ref="A3:H103" xr:uid="{00000000-0009-0000-0000-000002000000}"/>
  <mergeCells count="2">
    <mergeCell ref="A2:H2"/>
    <mergeCell ref="A1:H1"/>
  </mergeCells>
  <conditionalFormatting sqref="G4:G103">
    <cfRule type="cellIs" dxfId="13" priority="2" operator="equal">
      <formula>"Feito"</formula>
    </cfRule>
    <cfRule type="cellIs" dxfId="12" priority="3" operator="equal">
      <formula>"Fazendo"</formula>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expression" priority="1" id="{00000000-000E-0000-0200-000001000000}">
            <xm:f>$A4=INÍCIO!$B$5</xm:f>
            <x14:dxf>
              <font>
                <b/>
                <color rgb="FF7A5210"/>
                <name val="Arial"/>
              </font>
              <fill>
                <patternFill patternType="solid">
                  <fgColor rgb="FFFBEFD6"/>
                </patternFill>
              </fill>
            </x14:dxf>
          </x14:cfRule>
          <xm:sqref>A4:H103</xm:sqref>
        </x14:conditionalFormatting>
      </x14:conditionalFormattings>
    </ext>
    <ext xmlns:x14="http://schemas.microsoft.com/office/spreadsheetml/2009/9/main" uri="{CCE6A557-97BC-4b89-ADB6-D9C93CAAB3DF}">
      <x14:dataValidations xmlns:xm="http://schemas.microsoft.com/office/excel/2006/main" count="1">
        <x14:dataValidation type="list" xr:uid="{00000000-0002-0000-0200-000000000000}">
          <x14:formula1>
            <xm:f>Listas!$H$2:$H$4</xm:f>
          </x14:formula1>
          <xm: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E9E86"/>
  </sheetPr>
  <dimension ref="A1:F115"/>
  <sheetViews>
    <sheetView showGridLines="0" workbookViewId="0"/>
  </sheetViews>
  <sheetFormatPr defaultRowHeight="15" x14ac:dyDescent="0.25"/>
  <cols>
    <col min="1" max="1" width="26" customWidth="1"/>
    <col min="2" max="6" width="34" customWidth="1"/>
  </cols>
  <sheetData>
    <row r="1" spans="1:6" ht="33.950000000000003" customHeight="1" x14ac:dyDescent="0.25">
      <c r="A1" s="59" t="s">
        <v>206</v>
      </c>
      <c r="B1" s="50"/>
      <c r="C1" s="50"/>
      <c r="D1" s="50"/>
      <c r="E1" s="50"/>
      <c r="F1" s="50"/>
    </row>
    <row r="2" spans="1:6" ht="30" customHeight="1" x14ac:dyDescent="0.25">
      <c r="A2" s="49" t="s">
        <v>207</v>
      </c>
      <c r="B2" s="50"/>
      <c r="C2" s="50"/>
      <c r="D2" s="50"/>
      <c r="E2" s="50"/>
      <c r="F2" s="50"/>
    </row>
    <row r="4" spans="1:6" ht="21.95" customHeight="1" x14ac:dyDescent="0.25">
      <c r="A4" s="54" t="s">
        <v>208</v>
      </c>
      <c r="B4" s="55"/>
      <c r="C4" s="55"/>
      <c r="D4" s="55"/>
      <c r="E4" s="55"/>
      <c r="F4" s="55"/>
    </row>
    <row r="5" spans="1:6" ht="18.95" customHeight="1" x14ac:dyDescent="0.25">
      <c r="A5" s="12" t="s">
        <v>86</v>
      </c>
      <c r="B5" s="60" t="s">
        <v>93</v>
      </c>
      <c r="C5" s="47"/>
      <c r="D5" s="47"/>
      <c r="E5" s="47"/>
      <c r="F5" s="47"/>
    </row>
    <row r="6" spans="1:6" ht="18.95" customHeight="1" x14ac:dyDescent="0.25">
      <c r="A6" s="12" t="s">
        <v>19</v>
      </c>
      <c r="B6" s="60" t="s">
        <v>26</v>
      </c>
      <c r="C6" s="47"/>
      <c r="D6" s="47"/>
      <c r="E6" s="47"/>
      <c r="F6" s="47"/>
    </row>
    <row r="7" spans="1:6" ht="18.95" customHeight="1" x14ac:dyDescent="0.25">
      <c r="A7" s="12" t="s">
        <v>21</v>
      </c>
      <c r="B7" s="60" t="s">
        <v>28</v>
      </c>
      <c r="C7" s="47"/>
      <c r="D7" s="47"/>
      <c r="E7" s="47"/>
      <c r="F7" s="47"/>
    </row>
    <row r="8" spans="1:6" ht="18.95" customHeight="1" x14ac:dyDescent="0.25">
      <c r="A8" s="12" t="s">
        <v>209</v>
      </c>
      <c r="B8" s="60" t="s">
        <v>210</v>
      </c>
      <c r="C8" s="47"/>
      <c r="D8" s="47"/>
      <c r="E8" s="47"/>
      <c r="F8" s="47"/>
    </row>
    <row r="9" spans="1:6" ht="33.950000000000003" customHeight="1" x14ac:dyDescent="0.25">
      <c r="A9" s="12" t="s">
        <v>211</v>
      </c>
      <c r="B9" s="60" t="s">
        <v>212</v>
      </c>
      <c r="C9" s="47"/>
      <c r="D9" s="47"/>
      <c r="E9" s="47"/>
      <c r="F9" s="47"/>
    </row>
    <row r="10" spans="1:6" ht="18.95" customHeight="1" x14ac:dyDescent="0.25">
      <c r="A10" s="12" t="s">
        <v>213</v>
      </c>
      <c r="B10" s="60" t="s">
        <v>214</v>
      </c>
      <c r="C10" s="47"/>
      <c r="D10" s="47"/>
      <c r="E10" s="47"/>
      <c r="F10" s="47"/>
    </row>
    <row r="11" spans="1:6" ht="18.95" customHeight="1" x14ac:dyDescent="0.25">
      <c r="A11" s="12" t="s">
        <v>215</v>
      </c>
      <c r="B11" s="60" t="s">
        <v>29</v>
      </c>
      <c r="C11" s="47"/>
      <c r="D11" s="47"/>
      <c r="E11" s="47"/>
      <c r="F11" s="47"/>
    </row>
    <row r="12" spans="1:6" ht="21.95" customHeight="1" x14ac:dyDescent="0.25">
      <c r="A12" s="61" t="s">
        <v>116</v>
      </c>
      <c r="B12" s="44"/>
      <c r="C12" s="45"/>
      <c r="D12" s="61" t="s">
        <v>117</v>
      </c>
      <c r="E12" s="44"/>
      <c r="F12" s="45"/>
    </row>
    <row r="13" spans="1:6" ht="33.950000000000003" customHeight="1" x14ac:dyDescent="0.25">
      <c r="A13" s="62" t="s">
        <v>216</v>
      </c>
      <c r="B13" s="42"/>
      <c r="C13" s="42"/>
      <c r="D13" s="62" t="s">
        <v>217</v>
      </c>
      <c r="E13" s="42"/>
      <c r="F13" s="42"/>
    </row>
    <row r="14" spans="1:6" ht="18.95" customHeight="1" x14ac:dyDescent="0.25">
      <c r="A14" s="62" t="s">
        <v>218</v>
      </c>
      <c r="B14" s="42"/>
      <c r="C14" s="42"/>
      <c r="D14" s="62" t="s">
        <v>219</v>
      </c>
      <c r="E14" s="42"/>
      <c r="F14" s="42"/>
    </row>
    <row r="15" spans="1:6" ht="18.95" customHeight="1" x14ac:dyDescent="0.25">
      <c r="A15" s="62" t="s">
        <v>220</v>
      </c>
      <c r="B15" s="42"/>
      <c r="C15" s="42"/>
      <c r="D15" s="62"/>
      <c r="E15" s="42"/>
      <c r="F15" s="42"/>
    </row>
    <row r="16" spans="1:6" x14ac:dyDescent="0.25">
      <c r="A16" s="63" t="s">
        <v>221</v>
      </c>
      <c r="B16" s="42"/>
      <c r="C16" s="42"/>
      <c r="D16" s="42"/>
      <c r="E16" s="42"/>
      <c r="F16" s="42"/>
    </row>
    <row r="18" spans="1:6" ht="21.95" customHeight="1" x14ac:dyDescent="0.25">
      <c r="A18" s="54" t="s">
        <v>222</v>
      </c>
      <c r="B18" s="55"/>
      <c r="C18" s="55"/>
      <c r="D18" s="55"/>
      <c r="E18" s="55"/>
      <c r="F18" s="55"/>
    </row>
    <row r="19" spans="1:6" ht="18.95" customHeight="1" x14ac:dyDescent="0.25">
      <c r="A19" s="12" t="s">
        <v>86</v>
      </c>
      <c r="B19" s="60" t="s">
        <v>98</v>
      </c>
      <c r="C19" s="47"/>
      <c r="D19" s="47"/>
      <c r="E19" s="47"/>
      <c r="F19" s="47"/>
    </row>
    <row r="20" spans="1:6" ht="18.95" customHeight="1" x14ac:dyDescent="0.25">
      <c r="A20" s="12" t="s">
        <v>19</v>
      </c>
      <c r="B20" s="60" t="s">
        <v>33</v>
      </c>
      <c r="C20" s="47"/>
      <c r="D20" s="47"/>
      <c r="E20" s="47"/>
      <c r="F20" s="47"/>
    </row>
    <row r="21" spans="1:6" ht="18.95" customHeight="1" x14ac:dyDescent="0.25">
      <c r="A21" s="12" t="s">
        <v>21</v>
      </c>
      <c r="B21" s="60" t="s">
        <v>35</v>
      </c>
      <c r="C21" s="47"/>
      <c r="D21" s="47"/>
      <c r="E21" s="47"/>
      <c r="F21" s="47"/>
    </row>
    <row r="22" spans="1:6" ht="18.95" customHeight="1" x14ac:dyDescent="0.25">
      <c r="A22" s="12" t="s">
        <v>209</v>
      </c>
      <c r="B22" s="60" t="s">
        <v>223</v>
      </c>
      <c r="C22" s="47"/>
      <c r="D22" s="47"/>
      <c r="E22" s="47"/>
      <c r="F22" s="47"/>
    </row>
    <row r="23" spans="1:6" ht="18.95" customHeight="1" x14ac:dyDescent="0.25">
      <c r="A23" s="12" t="s">
        <v>211</v>
      </c>
      <c r="B23" s="60" t="s">
        <v>224</v>
      </c>
      <c r="C23" s="47"/>
      <c r="D23" s="47"/>
      <c r="E23" s="47"/>
      <c r="F23" s="47"/>
    </row>
    <row r="24" spans="1:6" ht="18.95" customHeight="1" x14ac:dyDescent="0.25">
      <c r="A24" s="12" t="s">
        <v>213</v>
      </c>
      <c r="B24" s="60" t="s">
        <v>225</v>
      </c>
      <c r="C24" s="47"/>
      <c r="D24" s="47"/>
      <c r="E24" s="47"/>
      <c r="F24" s="47"/>
    </row>
    <row r="25" spans="1:6" ht="18.95" customHeight="1" x14ac:dyDescent="0.25">
      <c r="A25" s="12" t="s">
        <v>215</v>
      </c>
      <c r="B25" s="60" t="s">
        <v>36</v>
      </c>
      <c r="C25" s="47"/>
      <c r="D25" s="47"/>
      <c r="E25" s="47"/>
      <c r="F25" s="47"/>
    </row>
    <row r="26" spans="1:6" ht="21.95" customHeight="1" x14ac:dyDescent="0.25">
      <c r="A26" s="61" t="s">
        <v>116</v>
      </c>
      <c r="B26" s="44"/>
      <c r="C26" s="45"/>
      <c r="D26" s="61" t="s">
        <v>117</v>
      </c>
      <c r="E26" s="44"/>
      <c r="F26" s="45"/>
    </row>
    <row r="27" spans="1:6" ht="33.950000000000003" customHeight="1" x14ac:dyDescent="0.25">
      <c r="A27" s="62" t="s">
        <v>226</v>
      </c>
      <c r="B27" s="42"/>
      <c r="C27" s="42"/>
      <c r="D27" s="62" t="s">
        <v>227</v>
      </c>
      <c r="E27" s="42"/>
      <c r="F27" s="42"/>
    </row>
    <row r="28" spans="1:6" ht="33.950000000000003" customHeight="1" x14ac:dyDescent="0.25">
      <c r="A28" s="62" t="s">
        <v>228</v>
      </c>
      <c r="B28" s="42"/>
      <c r="C28" s="42"/>
      <c r="D28" s="62" t="s">
        <v>229</v>
      </c>
      <c r="E28" s="42"/>
      <c r="F28" s="42"/>
    </row>
    <row r="29" spans="1:6" x14ac:dyDescent="0.25">
      <c r="A29" s="63" t="s">
        <v>230</v>
      </c>
      <c r="B29" s="42"/>
      <c r="C29" s="42"/>
      <c r="D29" s="42"/>
      <c r="E29" s="42"/>
      <c r="F29" s="42"/>
    </row>
    <row r="31" spans="1:6" ht="21.95" customHeight="1" x14ac:dyDescent="0.25">
      <c r="A31" s="54" t="s">
        <v>231</v>
      </c>
      <c r="B31" s="55"/>
      <c r="C31" s="55"/>
      <c r="D31" s="55"/>
      <c r="E31" s="55"/>
      <c r="F31" s="55"/>
    </row>
    <row r="32" spans="1:6" ht="18.95" customHeight="1" x14ac:dyDescent="0.25">
      <c r="A32" s="12" t="s">
        <v>86</v>
      </c>
      <c r="B32" s="60" t="s">
        <v>104</v>
      </c>
      <c r="C32" s="47"/>
      <c r="D32" s="47"/>
      <c r="E32" s="47"/>
      <c r="F32" s="47"/>
    </row>
    <row r="33" spans="1:6" ht="18.95" customHeight="1" x14ac:dyDescent="0.25">
      <c r="A33" s="12" t="s">
        <v>19</v>
      </c>
      <c r="B33" s="60" t="s">
        <v>40</v>
      </c>
      <c r="C33" s="47"/>
      <c r="D33" s="47"/>
      <c r="E33" s="47"/>
      <c r="F33" s="47"/>
    </row>
    <row r="34" spans="1:6" ht="18.95" customHeight="1" x14ac:dyDescent="0.25">
      <c r="A34" s="12" t="s">
        <v>21</v>
      </c>
      <c r="B34" s="60" t="s">
        <v>42</v>
      </c>
      <c r="C34" s="47"/>
      <c r="D34" s="47"/>
      <c r="E34" s="47"/>
      <c r="F34" s="47"/>
    </row>
    <row r="35" spans="1:6" ht="33.950000000000003" customHeight="1" x14ac:dyDescent="0.25">
      <c r="A35" s="12" t="s">
        <v>209</v>
      </c>
      <c r="B35" s="60" t="s">
        <v>232</v>
      </c>
      <c r="C35" s="47"/>
      <c r="D35" s="47"/>
      <c r="E35" s="47"/>
      <c r="F35" s="47"/>
    </row>
    <row r="36" spans="1:6" ht="33.950000000000003" customHeight="1" x14ac:dyDescent="0.25">
      <c r="A36" s="12" t="s">
        <v>211</v>
      </c>
      <c r="B36" s="60" t="s">
        <v>233</v>
      </c>
      <c r="C36" s="47"/>
      <c r="D36" s="47"/>
      <c r="E36" s="47"/>
      <c r="F36" s="47"/>
    </row>
    <row r="37" spans="1:6" ht="18.95" customHeight="1" x14ac:dyDescent="0.25">
      <c r="A37" s="12" t="s">
        <v>213</v>
      </c>
      <c r="B37" s="60" t="s">
        <v>234</v>
      </c>
      <c r="C37" s="47"/>
      <c r="D37" s="47"/>
      <c r="E37" s="47"/>
      <c r="F37" s="47"/>
    </row>
    <row r="38" spans="1:6" ht="18.95" customHeight="1" x14ac:dyDescent="0.25">
      <c r="A38" s="12" t="s">
        <v>215</v>
      </c>
      <c r="B38" s="60" t="s">
        <v>43</v>
      </c>
      <c r="C38" s="47"/>
      <c r="D38" s="47"/>
      <c r="E38" s="47"/>
      <c r="F38" s="47"/>
    </row>
    <row r="39" spans="1:6" ht="21.95" customHeight="1" x14ac:dyDescent="0.25">
      <c r="A39" s="61" t="s">
        <v>116</v>
      </c>
      <c r="B39" s="44"/>
      <c r="C39" s="45"/>
      <c r="D39" s="61" t="s">
        <v>117</v>
      </c>
      <c r="E39" s="44"/>
      <c r="F39" s="45"/>
    </row>
    <row r="40" spans="1:6" ht="18.95" customHeight="1" x14ac:dyDescent="0.25">
      <c r="A40" s="62" t="s">
        <v>235</v>
      </c>
      <c r="B40" s="42"/>
      <c r="C40" s="42"/>
      <c r="D40" s="62" t="s">
        <v>236</v>
      </c>
      <c r="E40" s="42"/>
      <c r="F40" s="42"/>
    </row>
    <row r="41" spans="1:6" ht="18.95" customHeight="1" x14ac:dyDescent="0.25">
      <c r="A41" s="62" t="s">
        <v>237</v>
      </c>
      <c r="B41" s="42"/>
      <c r="C41" s="42"/>
      <c r="D41" s="62" t="s">
        <v>238</v>
      </c>
      <c r="E41" s="42"/>
      <c r="F41" s="42"/>
    </row>
    <row r="42" spans="1:6" ht="18.95" customHeight="1" x14ac:dyDescent="0.25">
      <c r="A42" s="62" t="s">
        <v>228</v>
      </c>
      <c r="B42" s="42"/>
      <c r="C42" s="42"/>
      <c r="D42" s="62" t="s">
        <v>239</v>
      </c>
      <c r="E42" s="42"/>
      <c r="F42" s="42"/>
    </row>
    <row r="43" spans="1:6" x14ac:dyDescent="0.25">
      <c r="A43" s="63" t="s">
        <v>240</v>
      </c>
      <c r="B43" s="42"/>
      <c r="C43" s="42"/>
      <c r="D43" s="42"/>
      <c r="E43" s="42"/>
      <c r="F43" s="42"/>
    </row>
    <row r="45" spans="1:6" ht="21.95" customHeight="1" x14ac:dyDescent="0.25">
      <c r="A45" s="54" t="s">
        <v>241</v>
      </c>
      <c r="B45" s="55"/>
      <c r="C45" s="55"/>
      <c r="D45" s="55"/>
      <c r="E45" s="55"/>
      <c r="F45" s="55"/>
    </row>
    <row r="46" spans="1:6" ht="18.95" customHeight="1" x14ac:dyDescent="0.25">
      <c r="A46" s="12" t="s">
        <v>86</v>
      </c>
      <c r="B46" s="60" t="s">
        <v>106</v>
      </c>
      <c r="C46" s="47"/>
      <c r="D46" s="47"/>
      <c r="E46" s="47"/>
      <c r="F46" s="47"/>
    </row>
    <row r="47" spans="1:6" ht="18.95" customHeight="1" x14ac:dyDescent="0.25">
      <c r="A47" s="12" t="s">
        <v>19</v>
      </c>
      <c r="B47" s="60" t="s">
        <v>47</v>
      </c>
      <c r="C47" s="47"/>
      <c r="D47" s="47"/>
      <c r="E47" s="47"/>
      <c r="F47" s="47"/>
    </row>
    <row r="48" spans="1:6" ht="18.95" customHeight="1" x14ac:dyDescent="0.25">
      <c r="A48" s="12" t="s">
        <v>21</v>
      </c>
      <c r="B48" s="60" t="s">
        <v>28</v>
      </c>
      <c r="C48" s="47"/>
      <c r="D48" s="47"/>
      <c r="E48" s="47"/>
      <c r="F48" s="47"/>
    </row>
    <row r="49" spans="1:6" ht="18.95" customHeight="1" x14ac:dyDescent="0.25">
      <c r="A49" s="12" t="s">
        <v>209</v>
      </c>
      <c r="B49" s="60" t="s">
        <v>242</v>
      </c>
      <c r="C49" s="47"/>
      <c r="D49" s="47"/>
      <c r="E49" s="47"/>
      <c r="F49" s="47"/>
    </row>
    <row r="50" spans="1:6" ht="18.95" customHeight="1" x14ac:dyDescent="0.25">
      <c r="A50" s="12" t="s">
        <v>211</v>
      </c>
      <c r="B50" s="60" t="s">
        <v>243</v>
      </c>
      <c r="C50" s="47"/>
      <c r="D50" s="47"/>
      <c r="E50" s="47"/>
      <c r="F50" s="47"/>
    </row>
    <row r="51" spans="1:6" ht="18.95" customHeight="1" x14ac:dyDescent="0.25">
      <c r="A51" s="12" t="s">
        <v>213</v>
      </c>
      <c r="B51" s="60" t="s">
        <v>244</v>
      </c>
      <c r="C51" s="47"/>
      <c r="D51" s="47"/>
      <c r="E51" s="47"/>
      <c r="F51" s="47"/>
    </row>
    <row r="52" spans="1:6" ht="18.95" customHeight="1" x14ac:dyDescent="0.25">
      <c r="A52" s="12" t="s">
        <v>215</v>
      </c>
      <c r="B52" s="60" t="s">
        <v>49</v>
      </c>
      <c r="C52" s="47"/>
      <c r="D52" s="47"/>
      <c r="E52" s="47"/>
      <c r="F52" s="47"/>
    </row>
    <row r="53" spans="1:6" ht="21.95" customHeight="1" x14ac:dyDescent="0.25">
      <c r="A53" s="61" t="s">
        <v>116</v>
      </c>
      <c r="B53" s="44"/>
      <c r="C53" s="45"/>
      <c r="D53" s="61" t="s">
        <v>117</v>
      </c>
      <c r="E53" s="44"/>
      <c r="F53" s="45"/>
    </row>
    <row r="54" spans="1:6" ht="18.95" customHeight="1" x14ac:dyDescent="0.25">
      <c r="A54" s="62" t="s">
        <v>245</v>
      </c>
      <c r="B54" s="42"/>
      <c r="C54" s="42"/>
      <c r="D54" s="62" t="s">
        <v>246</v>
      </c>
      <c r="E54" s="42"/>
      <c r="F54" s="42"/>
    </row>
    <row r="55" spans="1:6" ht="18.95" customHeight="1" x14ac:dyDescent="0.25">
      <c r="A55" s="62" t="s">
        <v>247</v>
      </c>
      <c r="B55" s="42"/>
      <c r="C55" s="42"/>
      <c r="D55" s="62" t="s">
        <v>248</v>
      </c>
      <c r="E55" s="42"/>
      <c r="F55" s="42"/>
    </row>
    <row r="56" spans="1:6" ht="18.95" customHeight="1" x14ac:dyDescent="0.25">
      <c r="A56" s="62" t="s">
        <v>249</v>
      </c>
      <c r="B56" s="42"/>
      <c r="C56" s="42"/>
      <c r="D56" s="62" t="s">
        <v>250</v>
      </c>
      <c r="E56" s="42"/>
      <c r="F56" s="42"/>
    </row>
    <row r="57" spans="1:6" ht="18.95" customHeight="1" x14ac:dyDescent="0.25">
      <c r="A57" s="62" t="s">
        <v>251</v>
      </c>
      <c r="B57" s="42"/>
      <c r="C57" s="42"/>
      <c r="D57" s="62"/>
      <c r="E57" s="42"/>
      <c r="F57" s="42"/>
    </row>
    <row r="58" spans="1:6" x14ac:dyDescent="0.25">
      <c r="A58" s="63" t="s">
        <v>252</v>
      </c>
      <c r="B58" s="42"/>
      <c r="C58" s="42"/>
      <c r="D58" s="42"/>
      <c r="E58" s="42"/>
      <c r="F58" s="42"/>
    </row>
    <row r="60" spans="1:6" ht="21.95" customHeight="1" x14ac:dyDescent="0.25">
      <c r="A60" s="54" t="s">
        <v>253</v>
      </c>
      <c r="B60" s="55"/>
      <c r="C60" s="55"/>
      <c r="D60" s="55"/>
      <c r="E60" s="55"/>
      <c r="F60" s="55"/>
    </row>
    <row r="61" spans="1:6" ht="18.95" customHeight="1" x14ac:dyDescent="0.25">
      <c r="A61" s="12" t="s">
        <v>86</v>
      </c>
      <c r="B61" s="60" t="s">
        <v>107</v>
      </c>
      <c r="C61" s="47"/>
      <c r="D61" s="47"/>
      <c r="E61" s="47"/>
      <c r="F61" s="47"/>
    </row>
    <row r="62" spans="1:6" ht="18.95" customHeight="1" x14ac:dyDescent="0.25">
      <c r="A62" s="12" t="s">
        <v>19</v>
      </c>
      <c r="B62" s="60" t="s">
        <v>53</v>
      </c>
      <c r="C62" s="47"/>
      <c r="D62" s="47"/>
      <c r="E62" s="47"/>
      <c r="F62" s="47"/>
    </row>
    <row r="63" spans="1:6" ht="18.95" customHeight="1" x14ac:dyDescent="0.25">
      <c r="A63" s="12" t="s">
        <v>21</v>
      </c>
      <c r="B63" s="60" t="s">
        <v>28</v>
      </c>
      <c r="C63" s="47"/>
      <c r="D63" s="47"/>
      <c r="E63" s="47"/>
      <c r="F63" s="47"/>
    </row>
    <row r="64" spans="1:6" ht="18.95" customHeight="1" x14ac:dyDescent="0.25">
      <c r="A64" s="12" t="s">
        <v>209</v>
      </c>
      <c r="B64" s="60" t="s">
        <v>254</v>
      </c>
      <c r="C64" s="47"/>
      <c r="D64" s="47"/>
      <c r="E64" s="47"/>
      <c r="F64" s="47"/>
    </row>
    <row r="65" spans="1:6" ht="18.95" customHeight="1" x14ac:dyDescent="0.25">
      <c r="A65" s="12" t="s">
        <v>211</v>
      </c>
      <c r="B65" s="60" t="s">
        <v>255</v>
      </c>
      <c r="C65" s="47"/>
      <c r="D65" s="47"/>
      <c r="E65" s="47"/>
      <c r="F65" s="47"/>
    </row>
    <row r="66" spans="1:6" ht="18.95" customHeight="1" x14ac:dyDescent="0.25">
      <c r="A66" s="12" t="s">
        <v>213</v>
      </c>
      <c r="B66" s="60" t="s">
        <v>256</v>
      </c>
      <c r="C66" s="47"/>
      <c r="D66" s="47"/>
      <c r="E66" s="47"/>
      <c r="F66" s="47"/>
    </row>
    <row r="67" spans="1:6" ht="18.95" customHeight="1" x14ac:dyDescent="0.25">
      <c r="A67" s="12" t="s">
        <v>215</v>
      </c>
      <c r="B67" s="60" t="s">
        <v>54</v>
      </c>
      <c r="C67" s="47"/>
      <c r="D67" s="47"/>
      <c r="E67" s="47"/>
      <c r="F67" s="47"/>
    </row>
    <row r="68" spans="1:6" ht="21.95" customHeight="1" x14ac:dyDescent="0.25">
      <c r="A68" s="61" t="s">
        <v>116</v>
      </c>
      <c r="B68" s="44"/>
      <c r="C68" s="45"/>
      <c r="D68" s="61" t="s">
        <v>117</v>
      </c>
      <c r="E68" s="44"/>
      <c r="F68" s="45"/>
    </row>
    <row r="69" spans="1:6" ht="18.95" customHeight="1" x14ac:dyDescent="0.25">
      <c r="A69" s="62" t="s">
        <v>257</v>
      </c>
      <c r="B69" s="42"/>
      <c r="C69" s="42"/>
      <c r="D69" s="62" t="s">
        <v>246</v>
      </c>
      <c r="E69" s="42"/>
      <c r="F69" s="42"/>
    </row>
    <row r="70" spans="1:6" ht="18.95" customHeight="1" x14ac:dyDescent="0.25">
      <c r="A70" s="62" t="s">
        <v>258</v>
      </c>
      <c r="B70" s="42"/>
      <c r="C70" s="42"/>
      <c r="D70" s="62" t="s">
        <v>259</v>
      </c>
      <c r="E70" s="42"/>
      <c r="F70" s="42"/>
    </row>
    <row r="71" spans="1:6" ht="18.95" customHeight="1" x14ac:dyDescent="0.25">
      <c r="A71" s="62" t="s">
        <v>260</v>
      </c>
      <c r="B71" s="42"/>
      <c r="C71" s="42"/>
      <c r="D71" s="62" t="s">
        <v>261</v>
      </c>
      <c r="E71" s="42"/>
      <c r="F71" s="42"/>
    </row>
    <row r="72" spans="1:6" x14ac:dyDescent="0.25">
      <c r="A72" s="63" t="s">
        <v>262</v>
      </c>
      <c r="B72" s="42"/>
      <c r="C72" s="42"/>
      <c r="D72" s="42"/>
      <c r="E72" s="42"/>
      <c r="F72" s="42"/>
    </row>
    <row r="74" spans="1:6" ht="21.95" customHeight="1" x14ac:dyDescent="0.25">
      <c r="A74" s="54" t="s">
        <v>263</v>
      </c>
      <c r="B74" s="55"/>
      <c r="C74" s="55"/>
      <c r="D74" s="55"/>
      <c r="E74" s="55"/>
      <c r="F74" s="55"/>
    </row>
    <row r="75" spans="1:6" ht="33.950000000000003" customHeight="1" x14ac:dyDescent="0.25">
      <c r="A75" s="12" t="s">
        <v>86</v>
      </c>
      <c r="B75" s="60" t="s">
        <v>108</v>
      </c>
      <c r="C75" s="47"/>
      <c r="D75" s="47"/>
      <c r="E75" s="47"/>
      <c r="F75" s="47"/>
    </row>
    <row r="76" spans="1:6" ht="18.95" customHeight="1" x14ac:dyDescent="0.25">
      <c r="A76" s="12" t="s">
        <v>19</v>
      </c>
      <c r="B76" s="60" t="s">
        <v>58</v>
      </c>
      <c r="C76" s="47"/>
      <c r="D76" s="47"/>
      <c r="E76" s="47"/>
      <c r="F76" s="47"/>
    </row>
    <row r="77" spans="1:6" ht="18.95" customHeight="1" x14ac:dyDescent="0.25">
      <c r="A77" s="12" t="s">
        <v>21</v>
      </c>
      <c r="B77" s="60" t="s">
        <v>59</v>
      </c>
      <c r="C77" s="47"/>
      <c r="D77" s="47"/>
      <c r="E77" s="47"/>
      <c r="F77" s="47"/>
    </row>
    <row r="78" spans="1:6" ht="18.95" customHeight="1" x14ac:dyDescent="0.25">
      <c r="A78" s="12" t="s">
        <v>209</v>
      </c>
      <c r="B78" s="60" t="s">
        <v>264</v>
      </c>
      <c r="C78" s="47"/>
      <c r="D78" s="47"/>
      <c r="E78" s="47"/>
      <c r="F78" s="47"/>
    </row>
    <row r="79" spans="1:6" ht="18.95" customHeight="1" x14ac:dyDescent="0.25">
      <c r="A79" s="12" t="s">
        <v>211</v>
      </c>
      <c r="B79" s="60" t="s">
        <v>265</v>
      </c>
      <c r="C79" s="47"/>
      <c r="D79" s="47"/>
      <c r="E79" s="47"/>
      <c r="F79" s="47"/>
    </row>
    <row r="80" spans="1:6" ht="18.95" customHeight="1" x14ac:dyDescent="0.25">
      <c r="A80" s="12" t="s">
        <v>213</v>
      </c>
      <c r="B80" s="60" t="s">
        <v>266</v>
      </c>
      <c r="C80" s="47"/>
      <c r="D80" s="47"/>
      <c r="E80" s="47"/>
      <c r="F80" s="47"/>
    </row>
    <row r="81" spans="1:6" ht="18.95" customHeight="1" x14ac:dyDescent="0.25">
      <c r="A81" s="12" t="s">
        <v>215</v>
      </c>
      <c r="B81" s="60" t="s">
        <v>60</v>
      </c>
      <c r="C81" s="47"/>
      <c r="D81" s="47"/>
      <c r="E81" s="47"/>
      <c r="F81" s="47"/>
    </row>
    <row r="82" spans="1:6" ht="21.95" customHeight="1" x14ac:dyDescent="0.25">
      <c r="A82" s="61" t="s">
        <v>116</v>
      </c>
      <c r="B82" s="44"/>
      <c r="C82" s="45"/>
      <c r="D82" s="61" t="s">
        <v>117</v>
      </c>
      <c r="E82" s="44"/>
      <c r="F82" s="45"/>
    </row>
    <row r="83" spans="1:6" ht="18.95" customHeight="1" x14ac:dyDescent="0.25">
      <c r="A83" s="62" t="s">
        <v>267</v>
      </c>
      <c r="B83" s="42"/>
      <c r="C83" s="42"/>
      <c r="D83" s="62" t="s">
        <v>268</v>
      </c>
      <c r="E83" s="42"/>
      <c r="F83" s="42"/>
    </row>
    <row r="84" spans="1:6" ht="18.95" customHeight="1" x14ac:dyDescent="0.25">
      <c r="A84" s="62" t="s">
        <v>269</v>
      </c>
      <c r="B84" s="42"/>
      <c r="C84" s="42"/>
      <c r="D84" s="62" t="s">
        <v>270</v>
      </c>
      <c r="E84" s="42"/>
      <c r="F84" s="42"/>
    </row>
    <row r="85" spans="1:6" ht="18.95" customHeight="1" x14ac:dyDescent="0.25">
      <c r="A85" s="62" t="s">
        <v>271</v>
      </c>
      <c r="B85" s="42"/>
      <c r="C85" s="42"/>
      <c r="D85" s="62" t="s">
        <v>272</v>
      </c>
      <c r="E85" s="42"/>
      <c r="F85" s="42"/>
    </row>
    <row r="86" spans="1:6" x14ac:dyDescent="0.25">
      <c r="A86" s="63" t="s">
        <v>273</v>
      </c>
      <c r="B86" s="42"/>
      <c r="C86" s="42"/>
      <c r="D86" s="42"/>
      <c r="E86" s="42"/>
      <c r="F86" s="42"/>
    </row>
    <row r="88" spans="1:6" ht="21.95" customHeight="1" x14ac:dyDescent="0.25">
      <c r="A88" s="54" t="s">
        <v>274</v>
      </c>
      <c r="B88" s="55"/>
      <c r="C88" s="55"/>
      <c r="D88" s="55"/>
      <c r="E88" s="55"/>
      <c r="F88" s="55"/>
    </row>
    <row r="89" spans="1:6" ht="33.950000000000003" customHeight="1" x14ac:dyDescent="0.25">
      <c r="A89" s="12" t="s">
        <v>86</v>
      </c>
      <c r="B89" s="60" t="s">
        <v>109</v>
      </c>
      <c r="C89" s="47"/>
      <c r="D89" s="47"/>
      <c r="E89" s="47"/>
      <c r="F89" s="47"/>
    </row>
    <row r="90" spans="1:6" ht="18.95" customHeight="1" x14ac:dyDescent="0.25">
      <c r="A90" s="12" t="s">
        <v>19</v>
      </c>
      <c r="B90" s="60" t="s">
        <v>64</v>
      </c>
      <c r="C90" s="47"/>
      <c r="D90" s="47"/>
      <c r="E90" s="47"/>
      <c r="F90" s="47"/>
    </row>
    <row r="91" spans="1:6" ht="18.95" customHeight="1" x14ac:dyDescent="0.25">
      <c r="A91" s="12" t="s">
        <v>21</v>
      </c>
      <c r="B91" s="60" t="s">
        <v>65</v>
      </c>
      <c r="C91" s="47"/>
      <c r="D91" s="47"/>
      <c r="E91" s="47"/>
      <c r="F91" s="47"/>
    </row>
    <row r="92" spans="1:6" ht="18.95" customHeight="1" x14ac:dyDescent="0.25">
      <c r="A92" s="12" t="s">
        <v>209</v>
      </c>
      <c r="B92" s="60" t="s">
        <v>275</v>
      </c>
      <c r="C92" s="47"/>
      <c r="D92" s="47"/>
      <c r="E92" s="47"/>
      <c r="F92" s="47"/>
    </row>
    <row r="93" spans="1:6" ht="33.950000000000003" customHeight="1" x14ac:dyDescent="0.25">
      <c r="A93" s="12" t="s">
        <v>211</v>
      </c>
      <c r="B93" s="60" t="s">
        <v>276</v>
      </c>
      <c r="C93" s="47"/>
      <c r="D93" s="47"/>
      <c r="E93" s="47"/>
      <c r="F93" s="47"/>
    </row>
    <row r="94" spans="1:6" ht="18.95" customHeight="1" x14ac:dyDescent="0.25">
      <c r="A94" s="12" t="s">
        <v>213</v>
      </c>
      <c r="B94" s="60" t="s">
        <v>277</v>
      </c>
      <c r="C94" s="47"/>
      <c r="D94" s="47"/>
      <c r="E94" s="47"/>
      <c r="F94" s="47"/>
    </row>
    <row r="95" spans="1:6" ht="18.95" customHeight="1" x14ac:dyDescent="0.25">
      <c r="A95" s="12" t="s">
        <v>215</v>
      </c>
      <c r="B95" s="60" t="s">
        <v>66</v>
      </c>
      <c r="C95" s="47"/>
      <c r="D95" s="47"/>
      <c r="E95" s="47"/>
      <c r="F95" s="47"/>
    </row>
    <row r="96" spans="1:6" ht="21.95" customHeight="1" x14ac:dyDescent="0.25">
      <c r="A96" s="61" t="s">
        <v>116</v>
      </c>
      <c r="B96" s="44"/>
      <c r="C96" s="45"/>
      <c r="D96" s="61" t="s">
        <v>117</v>
      </c>
      <c r="E96" s="44"/>
      <c r="F96" s="45"/>
    </row>
    <row r="97" spans="1:6" ht="18.95" customHeight="1" x14ac:dyDescent="0.25">
      <c r="A97" s="62" t="s">
        <v>278</v>
      </c>
      <c r="B97" s="42"/>
      <c r="C97" s="42"/>
      <c r="D97" s="62" t="s">
        <v>279</v>
      </c>
      <c r="E97" s="42"/>
      <c r="F97" s="42"/>
    </row>
    <row r="98" spans="1:6" ht="18.95" customHeight="1" x14ac:dyDescent="0.25">
      <c r="A98" s="62" t="s">
        <v>280</v>
      </c>
      <c r="B98" s="42"/>
      <c r="C98" s="42"/>
      <c r="D98" s="62" t="s">
        <v>281</v>
      </c>
      <c r="E98" s="42"/>
      <c r="F98" s="42"/>
    </row>
    <row r="99" spans="1:6" ht="18.95" customHeight="1" x14ac:dyDescent="0.25">
      <c r="A99" s="62" t="s">
        <v>282</v>
      </c>
      <c r="B99" s="42"/>
      <c r="C99" s="42"/>
      <c r="D99" s="62" t="s">
        <v>283</v>
      </c>
      <c r="E99" s="42"/>
      <c r="F99" s="42"/>
    </row>
    <row r="100" spans="1:6" ht="18.95" customHeight="1" x14ac:dyDescent="0.25">
      <c r="A100" s="62" t="s">
        <v>284</v>
      </c>
      <c r="B100" s="42"/>
      <c r="C100" s="42"/>
      <c r="D100" s="62"/>
      <c r="E100" s="42"/>
      <c r="F100" s="42"/>
    </row>
    <row r="101" spans="1:6" x14ac:dyDescent="0.25">
      <c r="A101" s="63" t="s">
        <v>285</v>
      </c>
      <c r="B101" s="42"/>
      <c r="C101" s="42"/>
      <c r="D101" s="42"/>
      <c r="E101" s="42"/>
      <c r="F101" s="42"/>
    </row>
    <row r="103" spans="1:6" ht="21.95" customHeight="1" x14ac:dyDescent="0.25">
      <c r="A103" s="54" t="s">
        <v>286</v>
      </c>
      <c r="B103" s="55"/>
      <c r="C103" s="55"/>
      <c r="D103" s="55"/>
      <c r="E103" s="55"/>
      <c r="F103" s="55"/>
    </row>
    <row r="104" spans="1:6" ht="18.95" customHeight="1" x14ac:dyDescent="0.25">
      <c r="A104" s="12" t="s">
        <v>86</v>
      </c>
      <c r="B104" s="60" t="s">
        <v>110</v>
      </c>
      <c r="C104" s="47"/>
      <c r="D104" s="47"/>
      <c r="E104" s="47"/>
      <c r="F104" s="47"/>
    </row>
    <row r="105" spans="1:6" ht="18.95" customHeight="1" x14ac:dyDescent="0.25">
      <c r="A105" s="12" t="s">
        <v>19</v>
      </c>
      <c r="B105" s="60" t="s">
        <v>70</v>
      </c>
      <c r="C105" s="47"/>
      <c r="D105" s="47"/>
      <c r="E105" s="47"/>
      <c r="F105" s="47"/>
    </row>
    <row r="106" spans="1:6" ht="18.95" customHeight="1" x14ac:dyDescent="0.25">
      <c r="A106" s="12" t="s">
        <v>21</v>
      </c>
      <c r="B106" s="60" t="s">
        <v>28</v>
      </c>
      <c r="C106" s="47"/>
      <c r="D106" s="47"/>
      <c r="E106" s="47"/>
      <c r="F106" s="47"/>
    </row>
    <row r="107" spans="1:6" ht="18.95" customHeight="1" x14ac:dyDescent="0.25">
      <c r="A107" s="12" t="s">
        <v>209</v>
      </c>
      <c r="B107" s="60" t="s">
        <v>287</v>
      </c>
      <c r="C107" s="47"/>
      <c r="D107" s="47"/>
      <c r="E107" s="47"/>
      <c r="F107" s="47"/>
    </row>
    <row r="108" spans="1:6" ht="18.95" customHeight="1" x14ac:dyDescent="0.25">
      <c r="A108" s="12" t="s">
        <v>211</v>
      </c>
      <c r="B108" s="60" t="s">
        <v>288</v>
      </c>
      <c r="C108" s="47"/>
      <c r="D108" s="47"/>
      <c r="E108" s="47"/>
      <c r="F108" s="47"/>
    </row>
    <row r="109" spans="1:6" ht="18.95" customHeight="1" x14ac:dyDescent="0.25">
      <c r="A109" s="12" t="s">
        <v>213</v>
      </c>
      <c r="B109" s="60" t="s">
        <v>289</v>
      </c>
      <c r="C109" s="47"/>
      <c r="D109" s="47"/>
      <c r="E109" s="47"/>
      <c r="F109" s="47"/>
    </row>
    <row r="110" spans="1:6" ht="18.95" customHeight="1" x14ac:dyDescent="0.25">
      <c r="A110" s="12" t="s">
        <v>215</v>
      </c>
      <c r="B110" s="60" t="s">
        <v>71</v>
      </c>
      <c r="C110" s="47"/>
      <c r="D110" s="47"/>
      <c r="E110" s="47"/>
      <c r="F110" s="47"/>
    </row>
    <row r="111" spans="1:6" ht="21.95" customHeight="1" x14ac:dyDescent="0.25">
      <c r="A111" s="61" t="s">
        <v>116</v>
      </c>
      <c r="B111" s="44"/>
      <c r="C111" s="45"/>
      <c r="D111" s="61" t="s">
        <v>117</v>
      </c>
      <c r="E111" s="44"/>
      <c r="F111" s="45"/>
    </row>
    <row r="112" spans="1:6" ht="18.95" customHeight="1" x14ac:dyDescent="0.25">
      <c r="A112" s="62" t="s">
        <v>290</v>
      </c>
      <c r="B112" s="42"/>
      <c r="C112" s="42"/>
      <c r="D112" s="62" t="s">
        <v>291</v>
      </c>
      <c r="E112" s="42"/>
      <c r="F112" s="42"/>
    </row>
    <row r="113" spans="1:6" ht="18.95" customHeight="1" x14ac:dyDescent="0.25">
      <c r="A113" s="62" t="s">
        <v>292</v>
      </c>
      <c r="B113" s="42"/>
      <c r="C113" s="42"/>
      <c r="D113" s="62" t="s">
        <v>293</v>
      </c>
      <c r="E113" s="42"/>
      <c r="F113" s="42"/>
    </row>
    <row r="114" spans="1:6" ht="18.95" customHeight="1" x14ac:dyDescent="0.25">
      <c r="A114" s="62"/>
      <c r="B114" s="42"/>
      <c r="C114" s="42"/>
      <c r="D114" s="62" t="s">
        <v>294</v>
      </c>
      <c r="E114" s="42"/>
      <c r="F114" s="42"/>
    </row>
    <row r="115" spans="1:6" x14ac:dyDescent="0.25">
      <c r="A115" s="63" t="s">
        <v>295</v>
      </c>
      <c r="B115" s="42"/>
      <c r="C115" s="42"/>
      <c r="D115" s="42"/>
      <c r="E115" s="42"/>
      <c r="F115" s="42"/>
    </row>
  </sheetData>
  <mergeCells count="140">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A88:F88"/>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B75:F75"/>
    <mergeCell ref="B47:F47"/>
    <mergeCell ref="B62:F62"/>
    <mergeCell ref="A84:C84"/>
    <mergeCell ref="A74:F74"/>
    <mergeCell ref="B46:F46"/>
    <mergeCell ref="B21:F21"/>
    <mergeCell ref="A42:C42"/>
    <mergeCell ref="B48:F48"/>
    <mergeCell ref="D71:F71"/>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A101:F101"/>
    <mergeCell ref="B105:F105"/>
    <mergeCell ref="D111:F111"/>
    <mergeCell ref="A99:C99"/>
    <mergeCell ref="B109:F109"/>
    <mergeCell ref="D97:F97"/>
    <mergeCell ref="B23:F23"/>
    <mergeCell ref="B106:F106"/>
    <mergeCell ref="B7:F7"/>
    <mergeCell ref="B81:F81"/>
    <mergeCell ref="B25:F25"/>
    <mergeCell ref="B90:F90"/>
    <mergeCell ref="D53:F53"/>
    <mergeCell ref="A26:C26"/>
    <mergeCell ref="A57:C57"/>
    <mergeCell ref="A86:F86"/>
    <mergeCell ref="D42:F42"/>
    <mergeCell ref="A28:C28"/>
    <mergeCell ref="D82:F82"/>
    <mergeCell ref="B22:F22"/>
    <mergeCell ref="B93:F93"/>
    <mergeCell ref="B77:F77"/>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E9E86"/>
  </sheetPr>
  <dimension ref="A1:J155"/>
  <sheetViews>
    <sheetView showGridLines="0" workbookViewId="0">
      <pane xSplit="2" ySplit="3" topLeftCell="C4" activePane="bottomRight" state="frozen"/>
      <selection pane="topRight"/>
      <selection pane="bottomLeft"/>
      <selection pane="bottomRight"/>
    </sheetView>
  </sheetViews>
  <sheetFormatPr defaultRowHeight="15" x14ac:dyDescent="0.25"/>
  <cols>
    <col min="1" max="1" width="16" customWidth="1"/>
    <col min="2" max="2" width="30" customWidth="1"/>
    <col min="3" max="3" width="10" customWidth="1"/>
    <col min="4" max="8" width="20" customWidth="1"/>
    <col min="9" max="9" width="24" customWidth="1"/>
    <col min="10" max="10" width="60" customWidth="1"/>
  </cols>
  <sheetData>
    <row r="1" spans="1:10" ht="33.950000000000003" customHeight="1" x14ac:dyDescent="0.25">
      <c r="A1" s="59" t="s">
        <v>296</v>
      </c>
      <c r="B1" s="50"/>
      <c r="C1" s="50"/>
      <c r="D1" s="50"/>
      <c r="E1" s="50"/>
      <c r="F1" s="50"/>
      <c r="G1" s="50"/>
      <c r="H1" s="50"/>
      <c r="I1" s="50"/>
      <c r="J1" s="50"/>
    </row>
    <row r="2" spans="1:10" ht="30" customHeight="1" x14ac:dyDescent="0.25">
      <c r="A2" s="49" t="s">
        <v>297</v>
      </c>
      <c r="B2" s="50"/>
      <c r="C2" s="50"/>
      <c r="D2" s="50"/>
      <c r="E2" s="50"/>
      <c r="F2" s="50"/>
      <c r="G2" s="50"/>
      <c r="H2" s="50"/>
      <c r="I2" s="50"/>
      <c r="J2" s="50"/>
    </row>
    <row r="3" spans="1:10" ht="21.95" customHeight="1" x14ac:dyDescent="0.25">
      <c r="A3" s="4" t="s">
        <v>17</v>
      </c>
      <c r="B3" s="4" t="s">
        <v>298</v>
      </c>
      <c r="C3" s="4" t="s">
        <v>299</v>
      </c>
      <c r="D3" s="4" t="s">
        <v>300</v>
      </c>
      <c r="E3" s="4" t="s">
        <v>301</v>
      </c>
      <c r="F3" s="4" t="s">
        <v>302</v>
      </c>
      <c r="G3" s="4" t="s">
        <v>303</v>
      </c>
      <c r="H3" s="4" t="s">
        <v>304</v>
      </c>
      <c r="I3" s="4" t="s">
        <v>305</v>
      </c>
      <c r="J3" s="4" t="s">
        <v>306</v>
      </c>
    </row>
    <row r="4" spans="1:10" ht="33.950000000000003" customHeight="1" x14ac:dyDescent="0.25">
      <c r="A4" s="6" t="s">
        <v>23</v>
      </c>
      <c r="B4" s="5" t="s">
        <v>307</v>
      </c>
      <c r="C4" s="6" t="s">
        <v>28</v>
      </c>
      <c r="D4" s="6" t="s">
        <v>308</v>
      </c>
      <c r="E4" s="6" t="s">
        <v>309</v>
      </c>
      <c r="F4" s="6" t="s">
        <v>310</v>
      </c>
      <c r="G4" s="6"/>
      <c r="H4" s="6"/>
      <c r="I4" s="6" t="s">
        <v>311</v>
      </c>
      <c r="J4" s="6" t="s">
        <v>312</v>
      </c>
    </row>
    <row r="5" spans="1:10" ht="33.950000000000003" customHeight="1" x14ac:dyDescent="0.25">
      <c r="A5" s="6" t="s">
        <v>23</v>
      </c>
      <c r="B5" s="5" t="s">
        <v>313</v>
      </c>
      <c r="C5" s="6" t="s">
        <v>28</v>
      </c>
      <c r="D5" s="6" t="s">
        <v>314</v>
      </c>
      <c r="E5" s="6" t="s">
        <v>315</v>
      </c>
      <c r="F5" s="6"/>
      <c r="G5" s="6"/>
      <c r="H5" s="6"/>
      <c r="I5" s="6" t="s">
        <v>316</v>
      </c>
      <c r="J5" s="6" t="s">
        <v>317</v>
      </c>
    </row>
    <row r="6" spans="1:10" ht="33.950000000000003" customHeight="1" x14ac:dyDescent="0.25">
      <c r="A6" s="6" t="s">
        <v>23</v>
      </c>
      <c r="B6" s="5" t="s">
        <v>318</v>
      </c>
      <c r="C6" s="6" t="s">
        <v>28</v>
      </c>
      <c r="D6" s="6" t="s">
        <v>319</v>
      </c>
      <c r="E6" s="6" t="s">
        <v>320</v>
      </c>
      <c r="F6" s="6"/>
      <c r="G6" s="6"/>
      <c r="H6" s="6"/>
      <c r="I6" s="6" t="s">
        <v>321</v>
      </c>
      <c r="J6" s="6" t="s">
        <v>322</v>
      </c>
    </row>
    <row r="7" spans="1:10" ht="33.950000000000003" customHeight="1" x14ac:dyDescent="0.25">
      <c r="A7" s="6" t="s">
        <v>23</v>
      </c>
      <c r="B7" s="5" t="s">
        <v>323</v>
      </c>
      <c r="C7" s="6" t="s">
        <v>28</v>
      </c>
      <c r="D7" s="6"/>
      <c r="E7" s="6"/>
      <c r="F7" s="6"/>
      <c r="G7" s="6"/>
      <c r="H7" s="6"/>
      <c r="I7" s="6" t="s">
        <v>324</v>
      </c>
      <c r="J7" s="6" t="s">
        <v>325</v>
      </c>
    </row>
    <row r="8" spans="1:10" ht="18.95" customHeight="1" x14ac:dyDescent="0.25">
      <c r="A8" s="6" t="s">
        <v>23</v>
      </c>
      <c r="B8" s="5" t="s">
        <v>326</v>
      </c>
      <c r="C8" s="6" t="s">
        <v>28</v>
      </c>
      <c r="D8" s="6"/>
      <c r="E8" s="6"/>
      <c r="F8" s="6"/>
      <c r="G8" s="6"/>
      <c r="H8" s="6"/>
      <c r="I8" s="6" t="s">
        <v>327</v>
      </c>
      <c r="J8" s="6" t="s">
        <v>328</v>
      </c>
    </row>
    <row r="9" spans="1:10" ht="33.950000000000003" customHeight="1" x14ac:dyDescent="0.25">
      <c r="A9" s="10" t="s">
        <v>30</v>
      </c>
      <c r="B9" s="11" t="s">
        <v>329</v>
      </c>
      <c r="C9" s="10" t="s">
        <v>330</v>
      </c>
      <c r="D9" s="10" t="s">
        <v>331</v>
      </c>
      <c r="E9" s="10" t="s">
        <v>315</v>
      </c>
      <c r="F9" s="10"/>
      <c r="G9" s="10"/>
      <c r="H9" s="10"/>
      <c r="I9" s="10" t="s">
        <v>332</v>
      </c>
      <c r="J9" s="10" t="s">
        <v>333</v>
      </c>
    </row>
    <row r="10" spans="1:10" ht="18.95" customHeight="1" x14ac:dyDescent="0.25">
      <c r="A10" s="10" t="s">
        <v>30</v>
      </c>
      <c r="B10" s="11" t="s">
        <v>307</v>
      </c>
      <c r="C10" s="10" t="s">
        <v>28</v>
      </c>
      <c r="D10" s="10" t="s">
        <v>308</v>
      </c>
      <c r="E10" s="10" t="s">
        <v>309</v>
      </c>
      <c r="F10" s="10" t="s">
        <v>310</v>
      </c>
      <c r="G10" s="10"/>
      <c r="H10" s="10"/>
      <c r="I10" s="10" t="s">
        <v>311</v>
      </c>
      <c r="J10" s="10" t="s">
        <v>334</v>
      </c>
    </row>
    <row r="11" spans="1:10" ht="18.95" customHeight="1" x14ac:dyDescent="0.25">
      <c r="A11" s="10" t="s">
        <v>30</v>
      </c>
      <c r="B11" s="11" t="s">
        <v>313</v>
      </c>
      <c r="C11" s="10" t="s">
        <v>28</v>
      </c>
      <c r="D11" s="10" t="s">
        <v>314</v>
      </c>
      <c r="E11" s="10" t="s">
        <v>335</v>
      </c>
      <c r="F11" s="10"/>
      <c r="G11" s="10"/>
      <c r="H11" s="10"/>
      <c r="I11" s="10" t="s">
        <v>336</v>
      </c>
      <c r="J11" s="10" t="s">
        <v>337</v>
      </c>
    </row>
    <row r="12" spans="1:10" ht="18.95" customHeight="1" x14ac:dyDescent="0.25">
      <c r="A12" s="10" t="s">
        <v>30</v>
      </c>
      <c r="B12" s="11" t="s">
        <v>323</v>
      </c>
      <c r="C12" s="10" t="s">
        <v>28</v>
      </c>
      <c r="D12" s="10"/>
      <c r="E12" s="10"/>
      <c r="F12" s="10"/>
      <c r="G12" s="10"/>
      <c r="H12" s="10"/>
      <c r="I12" s="10" t="s">
        <v>324</v>
      </c>
      <c r="J12" s="10" t="s">
        <v>338</v>
      </c>
    </row>
    <row r="13" spans="1:10" ht="18.95" customHeight="1" x14ac:dyDescent="0.25">
      <c r="A13" s="10" t="s">
        <v>30</v>
      </c>
      <c r="B13" s="11" t="s">
        <v>326</v>
      </c>
      <c r="C13" s="10" t="s">
        <v>28</v>
      </c>
      <c r="D13" s="10"/>
      <c r="E13" s="10"/>
      <c r="F13" s="10"/>
      <c r="G13" s="10"/>
      <c r="H13" s="10"/>
      <c r="I13" s="10" t="s">
        <v>327</v>
      </c>
      <c r="J13" s="10" t="s">
        <v>339</v>
      </c>
    </row>
    <row r="14" spans="1:10" ht="48.95" customHeight="1" x14ac:dyDescent="0.25">
      <c r="A14" s="6" t="s">
        <v>37</v>
      </c>
      <c r="B14" s="12" t="s">
        <v>340</v>
      </c>
      <c r="C14" s="6" t="s">
        <v>28</v>
      </c>
      <c r="D14" s="6" t="s">
        <v>341</v>
      </c>
      <c r="E14" s="6" t="s">
        <v>315</v>
      </c>
      <c r="F14" s="6" t="s">
        <v>314</v>
      </c>
      <c r="G14" s="6" t="s">
        <v>342</v>
      </c>
      <c r="H14" s="6"/>
      <c r="I14" s="6" t="s">
        <v>343</v>
      </c>
      <c r="J14" s="6" t="s">
        <v>344</v>
      </c>
    </row>
    <row r="15" spans="1:10" ht="18.95" customHeight="1" x14ac:dyDescent="0.25">
      <c r="A15" s="6" t="s">
        <v>37</v>
      </c>
      <c r="B15" s="5" t="s">
        <v>329</v>
      </c>
      <c r="C15" s="6" t="s">
        <v>330</v>
      </c>
      <c r="D15" s="6" t="s">
        <v>331</v>
      </c>
      <c r="E15" s="6"/>
      <c r="F15" s="6"/>
      <c r="G15" s="6"/>
      <c r="H15" s="6"/>
      <c r="I15" s="6" t="s">
        <v>345</v>
      </c>
      <c r="J15" s="6" t="s">
        <v>346</v>
      </c>
    </row>
    <row r="16" spans="1:10" ht="63.95" customHeight="1" x14ac:dyDescent="0.25">
      <c r="A16" s="6" t="s">
        <v>37</v>
      </c>
      <c r="B16" s="5" t="s">
        <v>347</v>
      </c>
      <c r="C16" s="6" t="s">
        <v>28</v>
      </c>
      <c r="D16" s="6" t="s">
        <v>348</v>
      </c>
      <c r="E16" s="6" t="s">
        <v>349</v>
      </c>
      <c r="F16" s="6"/>
      <c r="G16" s="6"/>
      <c r="H16" s="6"/>
      <c r="I16" s="6" t="s">
        <v>350</v>
      </c>
      <c r="J16" s="6" t="s">
        <v>351</v>
      </c>
    </row>
    <row r="17" spans="1:10" ht="48.95" customHeight="1" x14ac:dyDescent="0.25">
      <c r="A17" s="6" t="s">
        <v>37</v>
      </c>
      <c r="B17" s="5" t="s">
        <v>352</v>
      </c>
      <c r="C17" s="6" t="s">
        <v>28</v>
      </c>
      <c r="D17" s="6" t="s">
        <v>353</v>
      </c>
      <c r="E17" s="6" t="s">
        <v>354</v>
      </c>
      <c r="F17" s="6"/>
      <c r="G17" s="6"/>
      <c r="H17" s="6"/>
      <c r="I17" s="6" t="s">
        <v>355</v>
      </c>
      <c r="J17" s="6" t="s">
        <v>356</v>
      </c>
    </row>
    <row r="18" spans="1:10" ht="48.95" customHeight="1" x14ac:dyDescent="0.25">
      <c r="A18" s="6" t="s">
        <v>37</v>
      </c>
      <c r="B18" s="5" t="s">
        <v>357</v>
      </c>
      <c r="C18" s="6" t="s">
        <v>28</v>
      </c>
      <c r="D18" s="6" t="s">
        <v>358</v>
      </c>
      <c r="E18" s="6"/>
      <c r="F18" s="6"/>
      <c r="G18" s="6"/>
      <c r="H18" s="6"/>
      <c r="I18" s="6" t="s">
        <v>359</v>
      </c>
      <c r="J18" s="6" t="s">
        <v>360</v>
      </c>
    </row>
    <row r="19" spans="1:10" ht="33.950000000000003" customHeight="1" x14ac:dyDescent="0.25">
      <c r="A19" s="6" t="s">
        <v>37</v>
      </c>
      <c r="B19" s="5" t="s">
        <v>361</v>
      </c>
      <c r="C19" s="6" t="s">
        <v>28</v>
      </c>
      <c r="D19" s="6"/>
      <c r="E19" s="6"/>
      <c r="F19" s="6"/>
      <c r="G19" s="6"/>
      <c r="H19" s="6"/>
      <c r="I19" s="6" t="s">
        <v>324</v>
      </c>
      <c r="J19" s="6" t="s">
        <v>362</v>
      </c>
    </row>
    <row r="20" spans="1:10" ht="48.95" customHeight="1" x14ac:dyDescent="0.25">
      <c r="A20" s="6" t="s">
        <v>37</v>
      </c>
      <c r="B20" s="5" t="s">
        <v>363</v>
      </c>
      <c r="C20" s="6" t="s">
        <v>28</v>
      </c>
      <c r="D20" s="6" t="s">
        <v>364</v>
      </c>
      <c r="E20" s="6" t="s">
        <v>365</v>
      </c>
      <c r="F20" s="6"/>
      <c r="G20" s="6"/>
      <c r="H20" s="6"/>
      <c r="I20" s="6" t="s">
        <v>366</v>
      </c>
      <c r="J20" s="6" t="s">
        <v>367</v>
      </c>
    </row>
    <row r="21" spans="1:10" ht="33.950000000000003" customHeight="1" x14ac:dyDescent="0.25">
      <c r="A21" s="6" t="s">
        <v>37</v>
      </c>
      <c r="B21" s="5" t="s">
        <v>368</v>
      </c>
      <c r="C21" s="6" t="s">
        <v>28</v>
      </c>
      <c r="D21" s="6"/>
      <c r="E21" s="6"/>
      <c r="F21" s="6"/>
      <c r="G21" s="6"/>
      <c r="H21" s="6"/>
      <c r="I21" s="6" t="s">
        <v>369</v>
      </c>
      <c r="J21" s="6" t="s">
        <v>370</v>
      </c>
    </row>
    <row r="22" spans="1:10" ht="18.95" customHeight="1" x14ac:dyDescent="0.25">
      <c r="A22" s="6" t="s">
        <v>37</v>
      </c>
      <c r="B22" s="5" t="s">
        <v>307</v>
      </c>
      <c r="C22" s="6" t="s">
        <v>28</v>
      </c>
      <c r="D22" s="6" t="s">
        <v>308</v>
      </c>
      <c r="E22" s="6" t="s">
        <v>309</v>
      </c>
      <c r="F22" s="6"/>
      <c r="G22" s="6"/>
      <c r="H22" s="6"/>
      <c r="I22" s="6" t="s">
        <v>371</v>
      </c>
      <c r="J22" s="6" t="s">
        <v>372</v>
      </c>
    </row>
    <row r="23" spans="1:10" ht="18.95" customHeight="1" x14ac:dyDescent="0.25">
      <c r="A23" s="6" t="s">
        <v>37</v>
      </c>
      <c r="B23" s="5" t="s">
        <v>313</v>
      </c>
      <c r="C23" s="6" t="s">
        <v>28</v>
      </c>
      <c r="D23" s="6" t="s">
        <v>314</v>
      </c>
      <c r="E23" s="6" t="s">
        <v>335</v>
      </c>
      <c r="F23" s="6"/>
      <c r="G23" s="6"/>
      <c r="H23" s="6"/>
      <c r="I23" s="6" t="s">
        <v>371</v>
      </c>
      <c r="J23" s="6" t="s">
        <v>372</v>
      </c>
    </row>
    <row r="24" spans="1:10" ht="18.95" customHeight="1" x14ac:dyDescent="0.25">
      <c r="A24" s="10" t="s">
        <v>44</v>
      </c>
      <c r="B24" s="14" t="s">
        <v>340</v>
      </c>
      <c r="C24" s="10" t="s">
        <v>28</v>
      </c>
      <c r="D24" s="10" t="s">
        <v>341</v>
      </c>
      <c r="E24" s="10" t="s">
        <v>315</v>
      </c>
      <c r="F24" s="10" t="s">
        <v>373</v>
      </c>
      <c r="G24" s="10" t="s">
        <v>342</v>
      </c>
      <c r="H24" s="10"/>
      <c r="I24" s="10" t="s">
        <v>343</v>
      </c>
      <c r="J24" s="10" t="s">
        <v>374</v>
      </c>
    </row>
    <row r="25" spans="1:10" ht="18.95" customHeight="1" x14ac:dyDescent="0.25">
      <c r="A25" s="10" t="s">
        <v>44</v>
      </c>
      <c r="B25" s="11" t="s">
        <v>329</v>
      </c>
      <c r="C25" s="10" t="s">
        <v>330</v>
      </c>
      <c r="D25" s="10" t="s">
        <v>331</v>
      </c>
      <c r="E25" s="10" t="s">
        <v>358</v>
      </c>
      <c r="F25" s="10"/>
      <c r="G25" s="10"/>
      <c r="H25" s="10"/>
      <c r="I25" s="10" t="s">
        <v>375</v>
      </c>
      <c r="J25" s="10" t="s">
        <v>376</v>
      </c>
    </row>
    <row r="26" spans="1:10" ht="33.950000000000003" customHeight="1" x14ac:dyDescent="0.25">
      <c r="A26" s="10" t="s">
        <v>44</v>
      </c>
      <c r="B26" s="11" t="s">
        <v>347</v>
      </c>
      <c r="C26" s="10" t="s">
        <v>28</v>
      </c>
      <c r="D26" s="10" t="s">
        <v>348</v>
      </c>
      <c r="E26" s="10" t="s">
        <v>377</v>
      </c>
      <c r="F26" s="10"/>
      <c r="G26" s="10"/>
      <c r="H26" s="10"/>
      <c r="I26" s="10" t="s">
        <v>378</v>
      </c>
      <c r="J26" s="10" t="s">
        <v>379</v>
      </c>
    </row>
    <row r="27" spans="1:10" ht="18.95" customHeight="1" x14ac:dyDescent="0.25">
      <c r="A27" s="10" t="s">
        <v>44</v>
      </c>
      <c r="B27" s="11" t="s">
        <v>352</v>
      </c>
      <c r="C27" s="10" t="s">
        <v>28</v>
      </c>
      <c r="D27" s="10" t="s">
        <v>353</v>
      </c>
      <c r="E27" s="10" t="s">
        <v>354</v>
      </c>
      <c r="F27" s="10"/>
      <c r="G27" s="10"/>
      <c r="H27" s="10"/>
      <c r="I27" s="10" t="s">
        <v>380</v>
      </c>
      <c r="J27" s="10" t="s">
        <v>381</v>
      </c>
    </row>
    <row r="28" spans="1:10" ht="48.95" customHeight="1" x14ac:dyDescent="0.25">
      <c r="A28" s="10" t="s">
        <v>44</v>
      </c>
      <c r="B28" s="11" t="s">
        <v>382</v>
      </c>
      <c r="C28" s="10" t="s">
        <v>28</v>
      </c>
      <c r="D28" s="10"/>
      <c r="E28" s="10"/>
      <c r="F28" s="10"/>
      <c r="G28" s="10"/>
      <c r="H28" s="10"/>
      <c r="I28" s="10" t="s">
        <v>383</v>
      </c>
      <c r="J28" s="10" t="s">
        <v>384</v>
      </c>
    </row>
    <row r="29" spans="1:10" ht="18.95" customHeight="1" x14ac:dyDescent="0.25">
      <c r="A29" s="10" t="s">
        <v>44</v>
      </c>
      <c r="B29" s="11" t="s">
        <v>385</v>
      </c>
      <c r="C29" s="10" t="s">
        <v>28</v>
      </c>
      <c r="D29" s="10" t="s">
        <v>386</v>
      </c>
      <c r="E29" s="10" t="s">
        <v>354</v>
      </c>
      <c r="F29" s="10"/>
      <c r="G29" s="10"/>
      <c r="H29" s="10"/>
      <c r="I29" s="10" t="s">
        <v>387</v>
      </c>
      <c r="J29" s="10" t="s">
        <v>388</v>
      </c>
    </row>
    <row r="30" spans="1:10" ht="18.95" customHeight="1" x14ac:dyDescent="0.25">
      <c r="A30" s="10" t="s">
        <v>44</v>
      </c>
      <c r="B30" s="11" t="s">
        <v>357</v>
      </c>
      <c r="C30" s="10" t="s">
        <v>28</v>
      </c>
      <c r="D30" s="10" t="s">
        <v>389</v>
      </c>
      <c r="E30" s="10"/>
      <c r="F30" s="10"/>
      <c r="G30" s="10"/>
      <c r="H30" s="10"/>
      <c r="I30" s="10" t="s">
        <v>390</v>
      </c>
      <c r="J30" s="10" t="s">
        <v>391</v>
      </c>
    </row>
    <row r="31" spans="1:10" ht="18.95" customHeight="1" x14ac:dyDescent="0.25">
      <c r="A31" s="10" t="s">
        <v>44</v>
      </c>
      <c r="B31" s="11" t="s">
        <v>363</v>
      </c>
      <c r="C31" s="10" t="s">
        <v>28</v>
      </c>
      <c r="D31" s="10" t="s">
        <v>365</v>
      </c>
      <c r="E31" s="10" t="s">
        <v>364</v>
      </c>
      <c r="F31" s="10"/>
      <c r="G31" s="10"/>
      <c r="H31" s="10"/>
      <c r="I31" s="10" t="s">
        <v>366</v>
      </c>
      <c r="J31" s="10" t="s">
        <v>392</v>
      </c>
    </row>
    <row r="32" spans="1:10" ht="33.950000000000003" customHeight="1" x14ac:dyDescent="0.25">
      <c r="A32" s="10" t="s">
        <v>44</v>
      </c>
      <c r="B32" s="11" t="s">
        <v>393</v>
      </c>
      <c r="C32" s="10" t="s">
        <v>28</v>
      </c>
      <c r="D32" s="10"/>
      <c r="E32" s="10"/>
      <c r="F32" s="10"/>
      <c r="G32" s="10"/>
      <c r="H32" s="10"/>
      <c r="I32" s="10" t="s">
        <v>394</v>
      </c>
      <c r="J32" s="10" t="s">
        <v>395</v>
      </c>
    </row>
    <row r="33" spans="1:10" ht="18.95" customHeight="1" x14ac:dyDescent="0.25">
      <c r="A33" s="10" t="s">
        <v>44</v>
      </c>
      <c r="B33" s="11" t="s">
        <v>361</v>
      </c>
      <c r="C33" s="10" t="s">
        <v>28</v>
      </c>
      <c r="D33" s="10"/>
      <c r="E33" s="10"/>
      <c r="F33" s="10"/>
      <c r="G33" s="10"/>
      <c r="H33" s="10"/>
      <c r="I33" s="10" t="s">
        <v>324</v>
      </c>
      <c r="J33" s="10" t="s">
        <v>396</v>
      </c>
    </row>
    <row r="34" spans="1:10" ht="33.950000000000003" customHeight="1" x14ac:dyDescent="0.25">
      <c r="A34" s="6" t="s">
        <v>50</v>
      </c>
      <c r="B34" s="12" t="s">
        <v>340</v>
      </c>
      <c r="C34" s="6" t="s">
        <v>28</v>
      </c>
      <c r="D34" s="6" t="s">
        <v>341</v>
      </c>
      <c r="E34" s="6" t="s">
        <v>315</v>
      </c>
      <c r="F34" s="6" t="s">
        <v>373</v>
      </c>
      <c r="G34" s="6" t="s">
        <v>342</v>
      </c>
      <c r="H34" s="6" t="s">
        <v>397</v>
      </c>
      <c r="I34" s="6" t="s">
        <v>343</v>
      </c>
      <c r="J34" s="6" t="s">
        <v>398</v>
      </c>
    </row>
    <row r="35" spans="1:10" ht="18.95" customHeight="1" x14ac:dyDescent="0.25">
      <c r="A35" s="6" t="s">
        <v>50</v>
      </c>
      <c r="B35" s="5" t="s">
        <v>329</v>
      </c>
      <c r="C35" s="6" t="s">
        <v>330</v>
      </c>
      <c r="D35" s="6" t="s">
        <v>331</v>
      </c>
      <c r="E35" s="6" t="s">
        <v>358</v>
      </c>
      <c r="F35" s="6" t="s">
        <v>399</v>
      </c>
      <c r="G35" s="6"/>
      <c r="H35" s="6"/>
      <c r="I35" s="6" t="s">
        <v>400</v>
      </c>
      <c r="J35" s="6" t="s">
        <v>401</v>
      </c>
    </row>
    <row r="36" spans="1:10" ht="18.95" customHeight="1" x14ac:dyDescent="0.25">
      <c r="A36" s="6" t="s">
        <v>50</v>
      </c>
      <c r="B36" s="5" t="s">
        <v>347</v>
      </c>
      <c r="C36" s="6" t="s">
        <v>28</v>
      </c>
      <c r="D36" s="6" t="s">
        <v>402</v>
      </c>
      <c r="E36" s="6" t="s">
        <v>377</v>
      </c>
      <c r="F36" s="6"/>
      <c r="G36" s="6"/>
      <c r="H36" s="6"/>
      <c r="I36" s="6" t="s">
        <v>378</v>
      </c>
      <c r="J36" s="6" t="s">
        <v>403</v>
      </c>
    </row>
    <row r="37" spans="1:10" ht="33.950000000000003" customHeight="1" x14ac:dyDescent="0.25">
      <c r="A37" s="6" t="s">
        <v>50</v>
      </c>
      <c r="B37" s="5" t="s">
        <v>404</v>
      </c>
      <c r="C37" s="6" t="s">
        <v>28</v>
      </c>
      <c r="D37" s="6"/>
      <c r="E37" s="6"/>
      <c r="F37" s="6"/>
      <c r="G37" s="6"/>
      <c r="H37" s="6"/>
      <c r="I37" s="6" t="s">
        <v>405</v>
      </c>
      <c r="J37" s="6" t="s">
        <v>406</v>
      </c>
    </row>
    <row r="38" spans="1:10" ht="18.95" customHeight="1" x14ac:dyDescent="0.25">
      <c r="A38" s="6" t="s">
        <v>50</v>
      </c>
      <c r="B38" s="5" t="s">
        <v>407</v>
      </c>
      <c r="C38" s="6" t="s">
        <v>28</v>
      </c>
      <c r="D38" s="6"/>
      <c r="E38" s="6"/>
      <c r="F38" s="6"/>
      <c r="G38" s="6"/>
      <c r="H38" s="6"/>
      <c r="I38" s="6" t="s">
        <v>405</v>
      </c>
      <c r="J38" s="6" t="s">
        <v>408</v>
      </c>
    </row>
    <row r="39" spans="1:10" ht="18.95" customHeight="1" x14ac:dyDescent="0.25">
      <c r="A39" s="6" t="s">
        <v>50</v>
      </c>
      <c r="B39" s="5" t="s">
        <v>409</v>
      </c>
      <c r="C39" s="6" t="s">
        <v>28</v>
      </c>
      <c r="D39" s="6"/>
      <c r="E39" s="6"/>
      <c r="F39" s="6"/>
      <c r="G39" s="6"/>
      <c r="H39" s="6"/>
      <c r="I39" s="6" t="s">
        <v>405</v>
      </c>
      <c r="J39" s="6" t="s">
        <v>410</v>
      </c>
    </row>
    <row r="40" spans="1:10" ht="18.95" customHeight="1" x14ac:dyDescent="0.25">
      <c r="A40" s="6" t="s">
        <v>50</v>
      </c>
      <c r="B40" s="5" t="s">
        <v>411</v>
      </c>
      <c r="C40" s="6" t="s">
        <v>28</v>
      </c>
      <c r="D40" s="6"/>
      <c r="E40" s="6"/>
      <c r="F40" s="6"/>
      <c r="G40" s="6"/>
      <c r="H40" s="6"/>
      <c r="I40" s="6" t="s">
        <v>405</v>
      </c>
      <c r="J40" s="6" t="s">
        <v>412</v>
      </c>
    </row>
    <row r="41" spans="1:10" ht="33.950000000000003" customHeight="1" x14ac:dyDescent="0.25">
      <c r="A41" s="6" t="s">
        <v>50</v>
      </c>
      <c r="B41" s="5" t="s">
        <v>413</v>
      </c>
      <c r="C41" s="6" t="s">
        <v>28</v>
      </c>
      <c r="D41" s="6" t="s">
        <v>354</v>
      </c>
      <c r="E41" s="6" t="s">
        <v>414</v>
      </c>
      <c r="F41" s="6"/>
      <c r="G41" s="6"/>
      <c r="H41" s="6"/>
      <c r="I41" s="6" t="s">
        <v>415</v>
      </c>
      <c r="J41" s="6" t="s">
        <v>416</v>
      </c>
    </row>
    <row r="42" spans="1:10" ht="18.95" customHeight="1" x14ac:dyDescent="0.25">
      <c r="A42" s="6" t="s">
        <v>50</v>
      </c>
      <c r="B42" s="5" t="s">
        <v>352</v>
      </c>
      <c r="C42" s="6" t="s">
        <v>28</v>
      </c>
      <c r="D42" s="6" t="s">
        <v>353</v>
      </c>
      <c r="E42" s="6" t="s">
        <v>354</v>
      </c>
      <c r="F42" s="6"/>
      <c r="G42" s="6"/>
      <c r="H42" s="6"/>
      <c r="I42" s="6" t="s">
        <v>380</v>
      </c>
      <c r="J42" s="6" t="s">
        <v>417</v>
      </c>
    </row>
    <row r="43" spans="1:10" ht="18.95" customHeight="1" x14ac:dyDescent="0.25">
      <c r="A43" s="6" t="s">
        <v>50</v>
      </c>
      <c r="B43" s="5" t="s">
        <v>382</v>
      </c>
      <c r="C43" s="6" t="s">
        <v>28</v>
      </c>
      <c r="D43" s="6"/>
      <c r="E43" s="6"/>
      <c r="F43" s="6"/>
      <c r="G43" s="6"/>
      <c r="H43" s="6"/>
      <c r="I43" s="6" t="s">
        <v>418</v>
      </c>
      <c r="J43" s="6" t="s">
        <v>419</v>
      </c>
    </row>
    <row r="44" spans="1:10" ht="18.95" customHeight="1" x14ac:dyDescent="0.25">
      <c r="A44" s="6" t="s">
        <v>50</v>
      </c>
      <c r="B44" s="5" t="s">
        <v>363</v>
      </c>
      <c r="C44" s="6" t="s">
        <v>28</v>
      </c>
      <c r="D44" s="6" t="s">
        <v>365</v>
      </c>
      <c r="E44" s="6" t="s">
        <v>364</v>
      </c>
      <c r="F44" s="6"/>
      <c r="G44" s="6"/>
      <c r="H44" s="6"/>
      <c r="I44" s="6" t="s">
        <v>366</v>
      </c>
      <c r="J44" s="6" t="s">
        <v>420</v>
      </c>
    </row>
    <row r="45" spans="1:10" ht="48.95" customHeight="1" x14ac:dyDescent="0.25">
      <c r="A45" s="10" t="s">
        <v>55</v>
      </c>
      <c r="B45" s="14" t="s">
        <v>421</v>
      </c>
      <c r="C45" s="10" t="s">
        <v>28</v>
      </c>
      <c r="D45" s="10" t="s">
        <v>341</v>
      </c>
      <c r="E45" s="10" t="s">
        <v>422</v>
      </c>
      <c r="F45" s="10" t="s">
        <v>373</v>
      </c>
      <c r="G45" s="10" t="s">
        <v>342</v>
      </c>
      <c r="H45" s="10" t="s">
        <v>397</v>
      </c>
      <c r="I45" s="10" t="s">
        <v>343</v>
      </c>
      <c r="J45" s="10" t="s">
        <v>423</v>
      </c>
    </row>
    <row r="46" spans="1:10" ht="18.95" customHeight="1" x14ac:dyDescent="0.25">
      <c r="A46" s="10" t="s">
        <v>55</v>
      </c>
      <c r="B46" s="11" t="s">
        <v>329</v>
      </c>
      <c r="C46" s="10" t="s">
        <v>330</v>
      </c>
      <c r="D46" s="10" t="s">
        <v>331</v>
      </c>
      <c r="E46" s="10" t="s">
        <v>358</v>
      </c>
      <c r="F46" s="10" t="s">
        <v>399</v>
      </c>
      <c r="G46" s="10" t="s">
        <v>424</v>
      </c>
      <c r="H46" s="10"/>
      <c r="I46" s="10" t="s">
        <v>375</v>
      </c>
      <c r="J46" s="10" t="s">
        <v>425</v>
      </c>
    </row>
    <row r="47" spans="1:10" ht="18.95" customHeight="1" x14ac:dyDescent="0.25">
      <c r="A47" s="10" t="s">
        <v>55</v>
      </c>
      <c r="B47" s="11" t="s">
        <v>347</v>
      </c>
      <c r="C47" s="10" t="s">
        <v>28</v>
      </c>
      <c r="D47" s="10" t="s">
        <v>377</v>
      </c>
      <c r="E47" s="10" t="s">
        <v>402</v>
      </c>
      <c r="F47" s="10" t="s">
        <v>349</v>
      </c>
      <c r="G47" s="10"/>
      <c r="H47" s="10"/>
      <c r="I47" s="10" t="s">
        <v>378</v>
      </c>
      <c r="J47" s="10" t="s">
        <v>426</v>
      </c>
    </row>
    <row r="48" spans="1:10" ht="33.950000000000003" customHeight="1" x14ac:dyDescent="0.25">
      <c r="A48" s="10" t="s">
        <v>55</v>
      </c>
      <c r="B48" s="11" t="s">
        <v>352</v>
      </c>
      <c r="C48" s="10" t="s">
        <v>28</v>
      </c>
      <c r="D48" s="10" t="s">
        <v>353</v>
      </c>
      <c r="E48" s="10" t="s">
        <v>354</v>
      </c>
      <c r="F48" s="10" t="s">
        <v>427</v>
      </c>
      <c r="G48" s="10"/>
      <c r="H48" s="10"/>
      <c r="I48" s="10" t="s">
        <v>380</v>
      </c>
      <c r="J48" s="10" t="s">
        <v>428</v>
      </c>
    </row>
    <row r="49" spans="1:10" ht="18.95" customHeight="1" x14ac:dyDescent="0.25">
      <c r="A49" s="10" t="s">
        <v>55</v>
      </c>
      <c r="B49" s="11" t="s">
        <v>409</v>
      </c>
      <c r="C49" s="10" t="s">
        <v>28</v>
      </c>
      <c r="D49" s="10"/>
      <c r="E49" s="10"/>
      <c r="F49" s="10"/>
      <c r="G49" s="10"/>
      <c r="H49" s="10"/>
      <c r="I49" s="10" t="s">
        <v>405</v>
      </c>
      <c r="J49" s="10" t="s">
        <v>429</v>
      </c>
    </row>
    <row r="50" spans="1:10" ht="18.95" customHeight="1" x14ac:dyDescent="0.25">
      <c r="A50" s="10" t="s">
        <v>55</v>
      </c>
      <c r="B50" s="11" t="s">
        <v>411</v>
      </c>
      <c r="C50" s="10" t="s">
        <v>28</v>
      </c>
      <c r="D50" s="10"/>
      <c r="E50" s="10"/>
      <c r="F50" s="10"/>
      <c r="G50" s="10"/>
      <c r="H50" s="10"/>
      <c r="I50" s="10" t="s">
        <v>405</v>
      </c>
      <c r="J50" s="10" t="s">
        <v>429</v>
      </c>
    </row>
    <row r="51" spans="1:10" ht="33.950000000000003" customHeight="1" x14ac:dyDescent="0.25">
      <c r="A51" s="10" t="s">
        <v>55</v>
      </c>
      <c r="B51" s="11" t="s">
        <v>430</v>
      </c>
      <c r="C51" s="10" t="s">
        <v>28</v>
      </c>
      <c r="D51" s="10"/>
      <c r="E51" s="10"/>
      <c r="F51" s="10"/>
      <c r="G51" s="10"/>
      <c r="H51" s="10"/>
      <c r="I51" s="10" t="s">
        <v>431</v>
      </c>
      <c r="J51" s="10" t="s">
        <v>432</v>
      </c>
    </row>
    <row r="52" spans="1:10" ht="33.950000000000003" customHeight="1" x14ac:dyDescent="0.25">
      <c r="A52" s="10" t="s">
        <v>55</v>
      </c>
      <c r="B52" s="11" t="s">
        <v>433</v>
      </c>
      <c r="C52" s="10" t="s">
        <v>28</v>
      </c>
      <c r="D52" s="10" t="s">
        <v>354</v>
      </c>
      <c r="E52" s="10" t="s">
        <v>414</v>
      </c>
      <c r="F52" s="10" t="s">
        <v>434</v>
      </c>
      <c r="G52" s="10"/>
      <c r="H52" s="10"/>
      <c r="I52" s="10" t="s">
        <v>435</v>
      </c>
      <c r="J52" s="10" t="s">
        <v>436</v>
      </c>
    </row>
    <row r="53" spans="1:10" ht="18.95" customHeight="1" x14ac:dyDescent="0.25">
      <c r="A53" s="10" t="s">
        <v>55</v>
      </c>
      <c r="B53" s="11" t="s">
        <v>363</v>
      </c>
      <c r="C53" s="10" t="s">
        <v>28</v>
      </c>
      <c r="D53" s="10" t="s">
        <v>364</v>
      </c>
      <c r="E53" s="10" t="s">
        <v>331</v>
      </c>
      <c r="F53" s="10" t="s">
        <v>349</v>
      </c>
      <c r="G53" s="10"/>
      <c r="H53" s="10"/>
      <c r="I53" s="10" t="s">
        <v>366</v>
      </c>
      <c r="J53" s="10" t="s">
        <v>437</v>
      </c>
    </row>
    <row r="54" spans="1:10" ht="18.95" customHeight="1" x14ac:dyDescent="0.25">
      <c r="A54" s="10" t="s">
        <v>55</v>
      </c>
      <c r="B54" s="11" t="s">
        <v>385</v>
      </c>
      <c r="C54" s="10" t="s">
        <v>28</v>
      </c>
      <c r="D54" s="10" t="s">
        <v>386</v>
      </c>
      <c r="E54" s="10"/>
      <c r="F54" s="10"/>
      <c r="G54" s="10"/>
      <c r="H54" s="10"/>
      <c r="I54" s="10" t="s">
        <v>438</v>
      </c>
      <c r="J54" s="10" t="s">
        <v>439</v>
      </c>
    </row>
    <row r="55" spans="1:10" ht="48.95" customHeight="1" x14ac:dyDescent="0.25">
      <c r="A55" s="10" t="s">
        <v>55</v>
      </c>
      <c r="B55" s="11" t="s">
        <v>440</v>
      </c>
      <c r="C55" s="10" t="s">
        <v>28</v>
      </c>
      <c r="D55" s="10" t="s">
        <v>354</v>
      </c>
      <c r="E55" s="10" t="s">
        <v>441</v>
      </c>
      <c r="F55" s="10" t="s">
        <v>442</v>
      </c>
      <c r="G55" s="10" t="s">
        <v>443</v>
      </c>
      <c r="H55" s="10"/>
      <c r="I55" s="10" t="s">
        <v>324</v>
      </c>
      <c r="J55" s="10" t="s">
        <v>444</v>
      </c>
    </row>
    <row r="56" spans="1:10" ht="33.950000000000003" customHeight="1" x14ac:dyDescent="0.25">
      <c r="A56" s="6" t="s">
        <v>61</v>
      </c>
      <c r="B56" s="5" t="s">
        <v>445</v>
      </c>
      <c r="C56" s="6" t="s">
        <v>28</v>
      </c>
      <c r="D56" s="6" t="s">
        <v>341</v>
      </c>
      <c r="E56" s="6" t="s">
        <v>422</v>
      </c>
      <c r="F56" s="6" t="s">
        <v>397</v>
      </c>
      <c r="G56" s="6" t="s">
        <v>342</v>
      </c>
      <c r="H56" s="6" t="s">
        <v>373</v>
      </c>
      <c r="I56" s="6" t="s">
        <v>343</v>
      </c>
      <c r="J56" s="6" t="s">
        <v>446</v>
      </c>
    </row>
    <row r="57" spans="1:10" ht="33.950000000000003" customHeight="1" x14ac:dyDescent="0.25">
      <c r="A57" s="6" t="s">
        <v>61</v>
      </c>
      <c r="B57" s="12" t="s">
        <v>447</v>
      </c>
      <c r="C57" s="6" t="s">
        <v>448</v>
      </c>
      <c r="D57" s="6" t="s">
        <v>341</v>
      </c>
      <c r="E57" s="6" t="s">
        <v>373</v>
      </c>
      <c r="F57" s="6" t="s">
        <v>422</v>
      </c>
      <c r="G57" s="6" t="s">
        <v>449</v>
      </c>
      <c r="H57" s="6" t="s">
        <v>365</v>
      </c>
      <c r="I57" s="6" t="s">
        <v>450</v>
      </c>
      <c r="J57" s="6" t="s">
        <v>451</v>
      </c>
    </row>
    <row r="58" spans="1:10" ht="48.95" customHeight="1" x14ac:dyDescent="0.25">
      <c r="A58" s="6" t="s">
        <v>61</v>
      </c>
      <c r="B58" s="5" t="s">
        <v>329</v>
      </c>
      <c r="C58" s="6" t="s">
        <v>330</v>
      </c>
      <c r="D58" s="6" t="s">
        <v>449</v>
      </c>
      <c r="E58" s="6" t="s">
        <v>341</v>
      </c>
      <c r="F58" s="6" t="s">
        <v>397</v>
      </c>
      <c r="G58" s="6" t="s">
        <v>452</v>
      </c>
      <c r="H58" s="6" t="s">
        <v>453</v>
      </c>
      <c r="I58" s="6" t="s">
        <v>454</v>
      </c>
      <c r="J58" s="6" t="s">
        <v>455</v>
      </c>
    </row>
    <row r="59" spans="1:10" ht="33.950000000000003" customHeight="1" x14ac:dyDescent="0.25">
      <c r="A59" s="6" t="s">
        <v>61</v>
      </c>
      <c r="B59" s="5" t="s">
        <v>456</v>
      </c>
      <c r="C59" s="6" t="s">
        <v>28</v>
      </c>
      <c r="D59" s="6" t="s">
        <v>365</v>
      </c>
      <c r="E59" s="6" t="s">
        <v>457</v>
      </c>
      <c r="F59" s="6" t="s">
        <v>458</v>
      </c>
      <c r="G59" s="6" t="s">
        <v>373</v>
      </c>
      <c r="H59" s="6" t="s">
        <v>422</v>
      </c>
      <c r="I59" s="6" t="s">
        <v>459</v>
      </c>
      <c r="J59" s="6" t="s">
        <v>460</v>
      </c>
    </row>
    <row r="60" spans="1:10" ht="33.950000000000003" customHeight="1" x14ac:dyDescent="0.25">
      <c r="A60" s="6" t="s">
        <v>61</v>
      </c>
      <c r="B60" s="5" t="s">
        <v>461</v>
      </c>
      <c r="C60" s="6" t="s">
        <v>28</v>
      </c>
      <c r="D60" s="6" t="s">
        <v>373</v>
      </c>
      <c r="E60" s="6" t="s">
        <v>341</v>
      </c>
      <c r="F60" s="6" t="s">
        <v>365</v>
      </c>
      <c r="G60" s="6" t="s">
        <v>422</v>
      </c>
      <c r="H60" s="6" t="s">
        <v>462</v>
      </c>
      <c r="I60" s="6" t="s">
        <v>463</v>
      </c>
      <c r="J60" s="6" t="s">
        <v>464</v>
      </c>
    </row>
    <row r="61" spans="1:10" ht="33.950000000000003" customHeight="1" x14ac:dyDescent="0.25">
      <c r="A61" s="6" t="s">
        <v>61</v>
      </c>
      <c r="B61" s="5" t="s">
        <v>352</v>
      </c>
      <c r="C61" s="6" t="s">
        <v>28</v>
      </c>
      <c r="D61" s="6" t="s">
        <v>353</v>
      </c>
      <c r="E61" s="6" t="s">
        <v>354</v>
      </c>
      <c r="F61" s="6" t="s">
        <v>427</v>
      </c>
      <c r="G61" s="6" t="s">
        <v>465</v>
      </c>
      <c r="H61" s="6"/>
      <c r="I61" s="6" t="s">
        <v>380</v>
      </c>
      <c r="J61" s="6" t="s">
        <v>466</v>
      </c>
    </row>
    <row r="62" spans="1:10" ht="48.95" customHeight="1" x14ac:dyDescent="0.25">
      <c r="A62" s="6" t="s">
        <v>61</v>
      </c>
      <c r="B62" s="5" t="s">
        <v>430</v>
      </c>
      <c r="C62" s="6" t="s">
        <v>28</v>
      </c>
      <c r="D62" s="6" t="s">
        <v>402</v>
      </c>
      <c r="E62" s="6" t="s">
        <v>467</v>
      </c>
      <c r="F62" s="6" t="s">
        <v>468</v>
      </c>
      <c r="G62" s="6" t="s">
        <v>469</v>
      </c>
      <c r="H62" s="6"/>
      <c r="I62" s="6" t="s">
        <v>470</v>
      </c>
      <c r="J62" s="6" t="s">
        <v>471</v>
      </c>
    </row>
    <row r="63" spans="1:10" ht="33.950000000000003" customHeight="1" x14ac:dyDescent="0.25">
      <c r="A63" s="6" t="s">
        <v>61</v>
      </c>
      <c r="B63" s="5" t="s">
        <v>472</v>
      </c>
      <c r="C63" s="6" t="s">
        <v>28</v>
      </c>
      <c r="D63" s="6" t="s">
        <v>441</v>
      </c>
      <c r="E63" s="6" t="s">
        <v>473</v>
      </c>
      <c r="F63" s="6" t="s">
        <v>474</v>
      </c>
      <c r="G63" s="6" t="s">
        <v>354</v>
      </c>
      <c r="H63" s="6"/>
      <c r="I63" s="6" t="s">
        <v>387</v>
      </c>
      <c r="J63" s="6" t="s">
        <v>475</v>
      </c>
    </row>
    <row r="64" spans="1:10" ht="48.95" customHeight="1" x14ac:dyDescent="0.25">
      <c r="A64" s="6" t="s">
        <v>61</v>
      </c>
      <c r="B64" s="5" t="s">
        <v>476</v>
      </c>
      <c r="C64" s="6" t="s">
        <v>28</v>
      </c>
      <c r="D64" s="6" t="s">
        <v>477</v>
      </c>
      <c r="E64" s="6" t="s">
        <v>478</v>
      </c>
      <c r="F64" s="6" t="s">
        <v>422</v>
      </c>
      <c r="G64" s="6" t="s">
        <v>373</v>
      </c>
      <c r="H64" s="6" t="s">
        <v>479</v>
      </c>
      <c r="I64" s="6" t="s">
        <v>480</v>
      </c>
      <c r="J64" s="6" t="s">
        <v>481</v>
      </c>
    </row>
    <row r="65" spans="1:10" ht="48.95" customHeight="1" x14ac:dyDescent="0.25">
      <c r="A65" s="6" t="s">
        <v>61</v>
      </c>
      <c r="B65" s="5" t="s">
        <v>482</v>
      </c>
      <c r="C65" s="6" t="s">
        <v>28</v>
      </c>
      <c r="D65" s="6" t="s">
        <v>365</v>
      </c>
      <c r="E65" s="6" t="s">
        <v>422</v>
      </c>
      <c r="F65" s="6" t="s">
        <v>397</v>
      </c>
      <c r="G65" s="6" t="s">
        <v>341</v>
      </c>
      <c r="H65" s="6" t="s">
        <v>373</v>
      </c>
      <c r="I65" s="6" t="s">
        <v>483</v>
      </c>
      <c r="J65" s="6" t="s">
        <v>484</v>
      </c>
    </row>
    <row r="66" spans="1:10" ht="18.95" customHeight="1" x14ac:dyDescent="0.25">
      <c r="A66" s="6" t="s">
        <v>61</v>
      </c>
      <c r="B66" s="5" t="s">
        <v>485</v>
      </c>
      <c r="C66" s="6" t="s">
        <v>448</v>
      </c>
      <c r="D66" s="6"/>
      <c r="E66" s="6"/>
      <c r="F66" s="6"/>
      <c r="G66" s="6"/>
      <c r="H66" s="6"/>
      <c r="I66" s="6" t="s">
        <v>486</v>
      </c>
      <c r="J66" s="6" t="s">
        <v>487</v>
      </c>
    </row>
    <row r="67" spans="1:10" ht="33.950000000000003" customHeight="1" x14ac:dyDescent="0.25">
      <c r="A67" s="6" t="s">
        <v>61</v>
      </c>
      <c r="B67" s="5" t="s">
        <v>488</v>
      </c>
      <c r="C67" s="6" t="s">
        <v>28</v>
      </c>
      <c r="D67" s="6"/>
      <c r="E67" s="6"/>
      <c r="F67" s="6"/>
      <c r="G67" s="6"/>
      <c r="H67" s="6"/>
      <c r="I67" s="6" t="s">
        <v>489</v>
      </c>
      <c r="J67" s="6" t="s">
        <v>490</v>
      </c>
    </row>
    <row r="68" spans="1:10" ht="18.95" customHeight="1" x14ac:dyDescent="0.25">
      <c r="A68" s="6" t="s">
        <v>61</v>
      </c>
      <c r="B68" s="5" t="s">
        <v>440</v>
      </c>
      <c r="C68" s="6" t="s">
        <v>28</v>
      </c>
      <c r="D68" s="6" t="s">
        <v>354</v>
      </c>
      <c r="E68" s="6" t="s">
        <v>441</v>
      </c>
      <c r="F68" s="6" t="s">
        <v>442</v>
      </c>
      <c r="G68" s="6" t="s">
        <v>443</v>
      </c>
      <c r="H68" s="6" t="s">
        <v>491</v>
      </c>
      <c r="I68" s="6" t="s">
        <v>324</v>
      </c>
      <c r="J68" s="6" t="s">
        <v>492</v>
      </c>
    </row>
    <row r="69" spans="1:10" ht="48.95" customHeight="1" x14ac:dyDescent="0.25">
      <c r="A69" s="10" t="s">
        <v>67</v>
      </c>
      <c r="B69" s="11" t="s">
        <v>445</v>
      </c>
      <c r="C69" s="10" t="s">
        <v>28</v>
      </c>
      <c r="D69" s="10" t="s">
        <v>422</v>
      </c>
      <c r="E69" s="10" t="s">
        <v>397</v>
      </c>
      <c r="F69" s="10" t="s">
        <v>342</v>
      </c>
      <c r="G69" s="10" t="s">
        <v>341</v>
      </c>
      <c r="H69" s="10" t="s">
        <v>373</v>
      </c>
      <c r="I69" s="10" t="s">
        <v>493</v>
      </c>
      <c r="J69" s="10" t="s">
        <v>494</v>
      </c>
    </row>
    <row r="70" spans="1:10" ht="18.95" customHeight="1" x14ac:dyDescent="0.25">
      <c r="A70" s="10" t="s">
        <v>67</v>
      </c>
      <c r="B70" s="14" t="s">
        <v>447</v>
      </c>
      <c r="C70" s="10" t="s">
        <v>448</v>
      </c>
      <c r="D70" s="10" t="s">
        <v>365</v>
      </c>
      <c r="E70" s="10" t="s">
        <v>422</v>
      </c>
      <c r="F70" s="10" t="s">
        <v>397</v>
      </c>
      <c r="G70" s="10" t="s">
        <v>341</v>
      </c>
      <c r="H70" s="10" t="s">
        <v>373</v>
      </c>
      <c r="I70" s="10" t="s">
        <v>450</v>
      </c>
      <c r="J70" s="10" t="s">
        <v>495</v>
      </c>
    </row>
    <row r="71" spans="1:10" ht="18.95" customHeight="1" x14ac:dyDescent="0.25">
      <c r="A71" s="10" t="s">
        <v>67</v>
      </c>
      <c r="B71" s="11" t="s">
        <v>329</v>
      </c>
      <c r="C71" s="10" t="s">
        <v>330</v>
      </c>
      <c r="D71" s="10" t="s">
        <v>452</v>
      </c>
      <c r="E71" s="10" t="s">
        <v>422</v>
      </c>
      <c r="F71" s="10" t="s">
        <v>397</v>
      </c>
      <c r="G71" s="10" t="s">
        <v>373</v>
      </c>
      <c r="H71" s="10" t="s">
        <v>453</v>
      </c>
      <c r="I71" s="10" t="s">
        <v>454</v>
      </c>
      <c r="J71" s="10" t="s">
        <v>496</v>
      </c>
    </row>
    <row r="72" spans="1:10" ht="18.95" customHeight="1" x14ac:dyDescent="0.25">
      <c r="A72" s="10" t="s">
        <v>67</v>
      </c>
      <c r="B72" s="11" t="s">
        <v>456</v>
      </c>
      <c r="C72" s="10" t="s">
        <v>28</v>
      </c>
      <c r="D72" s="10" t="s">
        <v>365</v>
      </c>
      <c r="E72" s="10" t="s">
        <v>497</v>
      </c>
      <c r="F72" s="10" t="s">
        <v>498</v>
      </c>
      <c r="G72" s="10" t="s">
        <v>499</v>
      </c>
      <c r="H72" s="10" t="s">
        <v>500</v>
      </c>
      <c r="I72" s="10" t="s">
        <v>459</v>
      </c>
      <c r="J72" s="10" t="s">
        <v>501</v>
      </c>
    </row>
    <row r="73" spans="1:10" ht="18.95" customHeight="1" x14ac:dyDescent="0.25">
      <c r="A73" s="10" t="s">
        <v>67</v>
      </c>
      <c r="B73" s="11" t="s">
        <v>461</v>
      </c>
      <c r="C73" s="10" t="s">
        <v>28</v>
      </c>
      <c r="D73" s="10" t="s">
        <v>365</v>
      </c>
      <c r="E73" s="10" t="s">
        <v>469</v>
      </c>
      <c r="F73" s="10" t="s">
        <v>502</v>
      </c>
      <c r="G73" s="10" t="s">
        <v>462</v>
      </c>
      <c r="H73" s="10" t="s">
        <v>377</v>
      </c>
      <c r="I73" s="10" t="s">
        <v>503</v>
      </c>
      <c r="J73" s="10" t="s">
        <v>504</v>
      </c>
    </row>
    <row r="74" spans="1:10" ht="18.95" customHeight="1" x14ac:dyDescent="0.25">
      <c r="A74" s="10" t="s">
        <v>67</v>
      </c>
      <c r="B74" s="11" t="s">
        <v>505</v>
      </c>
      <c r="C74" s="10" t="s">
        <v>28</v>
      </c>
      <c r="D74" s="10" t="s">
        <v>365</v>
      </c>
      <c r="E74" s="10" t="s">
        <v>364</v>
      </c>
      <c r="F74" s="10" t="s">
        <v>469</v>
      </c>
      <c r="G74" s="10" t="s">
        <v>468</v>
      </c>
      <c r="H74" s="10" t="s">
        <v>424</v>
      </c>
      <c r="I74" s="10" t="s">
        <v>483</v>
      </c>
      <c r="J74" s="10" t="s">
        <v>506</v>
      </c>
    </row>
    <row r="75" spans="1:10" ht="18.95" customHeight="1" x14ac:dyDescent="0.25">
      <c r="A75" s="10" t="s">
        <v>67</v>
      </c>
      <c r="B75" s="11" t="s">
        <v>472</v>
      </c>
      <c r="C75" s="10" t="s">
        <v>28</v>
      </c>
      <c r="D75" s="10" t="s">
        <v>441</v>
      </c>
      <c r="E75" s="10" t="s">
        <v>354</v>
      </c>
      <c r="F75" s="10" t="s">
        <v>474</v>
      </c>
      <c r="G75" s="10" t="s">
        <v>473</v>
      </c>
      <c r="H75" s="10"/>
      <c r="I75" s="10" t="s">
        <v>438</v>
      </c>
      <c r="J75" s="10" t="s">
        <v>507</v>
      </c>
    </row>
    <row r="76" spans="1:10" ht="18.95" customHeight="1" x14ac:dyDescent="0.25">
      <c r="A76" s="10" t="s">
        <v>67</v>
      </c>
      <c r="B76" s="11" t="s">
        <v>476</v>
      </c>
      <c r="C76" s="10" t="s">
        <v>28</v>
      </c>
      <c r="D76" s="10" t="s">
        <v>477</v>
      </c>
      <c r="E76" s="10" t="s">
        <v>478</v>
      </c>
      <c r="F76" s="10" t="s">
        <v>422</v>
      </c>
      <c r="G76" s="10" t="s">
        <v>508</v>
      </c>
      <c r="H76" s="10" t="s">
        <v>479</v>
      </c>
      <c r="I76" s="10" t="s">
        <v>480</v>
      </c>
      <c r="J76" s="10" t="s">
        <v>507</v>
      </c>
    </row>
    <row r="77" spans="1:10" ht="18.95" customHeight="1" x14ac:dyDescent="0.25">
      <c r="A77" s="10" t="s">
        <v>67</v>
      </c>
      <c r="B77" s="11" t="s">
        <v>485</v>
      </c>
      <c r="C77" s="10" t="s">
        <v>448</v>
      </c>
      <c r="D77" s="10" t="s">
        <v>509</v>
      </c>
      <c r="E77" s="10"/>
      <c r="F77" s="10"/>
      <c r="G77" s="10"/>
      <c r="H77" s="10"/>
      <c r="I77" s="10" t="s">
        <v>486</v>
      </c>
      <c r="J77" s="10" t="s">
        <v>487</v>
      </c>
    </row>
    <row r="78" spans="1:10" ht="18.95" customHeight="1" x14ac:dyDescent="0.25">
      <c r="A78" s="10" t="s">
        <v>67</v>
      </c>
      <c r="B78" s="11" t="s">
        <v>488</v>
      </c>
      <c r="C78" s="10" t="s">
        <v>28</v>
      </c>
      <c r="D78" s="10"/>
      <c r="E78" s="10"/>
      <c r="F78" s="10"/>
      <c r="G78" s="10"/>
      <c r="H78" s="10"/>
      <c r="I78" s="10" t="s">
        <v>489</v>
      </c>
      <c r="J78" s="10" t="s">
        <v>510</v>
      </c>
    </row>
    <row r="79" spans="1:10" ht="18.95" customHeight="1" x14ac:dyDescent="0.25">
      <c r="A79" s="10" t="s">
        <v>67</v>
      </c>
      <c r="B79" s="11" t="s">
        <v>440</v>
      </c>
      <c r="C79" s="10" t="s">
        <v>28</v>
      </c>
      <c r="D79" s="10" t="s">
        <v>354</v>
      </c>
      <c r="E79" s="10" t="s">
        <v>441</v>
      </c>
      <c r="F79" s="10" t="s">
        <v>442</v>
      </c>
      <c r="G79" s="10" t="s">
        <v>443</v>
      </c>
      <c r="H79" s="10" t="s">
        <v>491</v>
      </c>
      <c r="I79" s="10" t="s">
        <v>324</v>
      </c>
      <c r="J79" s="10" t="s">
        <v>507</v>
      </c>
    </row>
    <row r="81" spans="1:10" ht="21.95" customHeight="1" x14ac:dyDescent="0.25">
      <c r="A81" s="54" t="s">
        <v>511</v>
      </c>
      <c r="B81" s="55"/>
      <c r="C81" s="55"/>
      <c r="D81" s="55"/>
      <c r="E81" s="55"/>
      <c r="F81" s="55"/>
      <c r="G81" s="55"/>
      <c r="H81" s="55"/>
      <c r="I81" s="55"/>
      <c r="J81" s="55"/>
    </row>
    <row r="82" spans="1:10" ht="18.95" customHeight="1" x14ac:dyDescent="0.25">
      <c r="B82" s="1" t="s">
        <v>377</v>
      </c>
      <c r="C82" s="62" t="s">
        <v>512</v>
      </c>
      <c r="D82" s="42"/>
      <c r="E82" s="42"/>
      <c r="F82" s="42"/>
      <c r="G82" s="42"/>
      <c r="H82" s="42"/>
      <c r="I82" s="42"/>
      <c r="J82" s="42"/>
    </row>
    <row r="83" spans="1:10" ht="18.95" customHeight="1" x14ac:dyDescent="0.25">
      <c r="B83" s="1" t="s">
        <v>458</v>
      </c>
      <c r="C83" s="62" t="s">
        <v>513</v>
      </c>
      <c r="D83" s="42"/>
      <c r="E83" s="42"/>
      <c r="F83" s="42"/>
      <c r="G83" s="42"/>
      <c r="H83" s="42"/>
      <c r="I83" s="42"/>
      <c r="J83" s="42"/>
    </row>
    <row r="84" spans="1:10" ht="18.95" customHeight="1" x14ac:dyDescent="0.25">
      <c r="B84" s="1" t="s">
        <v>514</v>
      </c>
      <c r="C84" s="62" t="s">
        <v>515</v>
      </c>
      <c r="D84" s="42"/>
      <c r="E84" s="42"/>
      <c r="F84" s="42"/>
      <c r="G84" s="42"/>
      <c r="H84" s="42"/>
      <c r="I84" s="42"/>
      <c r="J84" s="42"/>
    </row>
    <row r="85" spans="1:10" ht="18.95" customHeight="1" x14ac:dyDescent="0.25">
      <c r="B85" s="1" t="s">
        <v>358</v>
      </c>
      <c r="C85" s="62" t="s">
        <v>516</v>
      </c>
      <c r="D85" s="42"/>
      <c r="E85" s="42"/>
      <c r="F85" s="42"/>
      <c r="G85" s="42"/>
      <c r="H85" s="42"/>
      <c r="I85" s="42"/>
      <c r="J85" s="42"/>
    </row>
    <row r="86" spans="1:10" ht="18.95" customHeight="1" x14ac:dyDescent="0.25">
      <c r="B86" s="1" t="s">
        <v>335</v>
      </c>
      <c r="C86" s="62" t="s">
        <v>517</v>
      </c>
      <c r="D86" s="42"/>
      <c r="E86" s="42"/>
      <c r="F86" s="42"/>
      <c r="G86" s="42"/>
      <c r="H86" s="42"/>
      <c r="I86" s="42"/>
      <c r="J86" s="42"/>
    </row>
    <row r="87" spans="1:10" ht="18.95" customHeight="1" x14ac:dyDescent="0.25">
      <c r="B87" s="1" t="s">
        <v>518</v>
      </c>
      <c r="C87" s="62" t="s">
        <v>519</v>
      </c>
      <c r="D87" s="42"/>
      <c r="E87" s="42"/>
      <c r="F87" s="42"/>
      <c r="G87" s="42"/>
      <c r="H87" s="42"/>
      <c r="I87" s="42"/>
      <c r="J87" s="42"/>
    </row>
    <row r="88" spans="1:10" ht="18.95" customHeight="1" x14ac:dyDescent="0.25">
      <c r="B88" s="1" t="s">
        <v>465</v>
      </c>
      <c r="C88" s="62" t="s">
        <v>520</v>
      </c>
      <c r="D88" s="42"/>
      <c r="E88" s="42"/>
      <c r="F88" s="42"/>
      <c r="G88" s="42"/>
      <c r="H88" s="42"/>
      <c r="I88" s="42"/>
      <c r="J88" s="42"/>
    </row>
    <row r="89" spans="1:10" ht="18.95" customHeight="1" x14ac:dyDescent="0.25">
      <c r="B89" s="1" t="s">
        <v>453</v>
      </c>
      <c r="C89" s="62" t="s">
        <v>521</v>
      </c>
      <c r="D89" s="42"/>
      <c r="E89" s="42"/>
      <c r="F89" s="42"/>
      <c r="G89" s="42"/>
      <c r="H89" s="42"/>
      <c r="I89" s="42"/>
      <c r="J89" s="42"/>
    </row>
    <row r="90" spans="1:10" ht="18.95" customHeight="1" x14ac:dyDescent="0.25">
      <c r="B90" s="1" t="s">
        <v>522</v>
      </c>
      <c r="C90" s="62" t="s">
        <v>523</v>
      </c>
      <c r="D90" s="42"/>
      <c r="E90" s="42"/>
      <c r="F90" s="42"/>
      <c r="G90" s="42"/>
      <c r="H90" s="42"/>
      <c r="I90" s="42"/>
      <c r="J90" s="42"/>
    </row>
    <row r="91" spans="1:10" ht="18.95" customHeight="1" x14ac:dyDescent="0.25">
      <c r="B91" s="1" t="s">
        <v>319</v>
      </c>
      <c r="C91" s="62" t="s">
        <v>524</v>
      </c>
      <c r="D91" s="42"/>
      <c r="E91" s="42"/>
      <c r="F91" s="42"/>
      <c r="G91" s="42"/>
      <c r="H91" s="42"/>
      <c r="I91" s="42"/>
      <c r="J91" s="42"/>
    </row>
    <row r="92" spans="1:10" ht="18.95" customHeight="1" x14ac:dyDescent="0.25">
      <c r="B92" s="1" t="s">
        <v>320</v>
      </c>
      <c r="C92" s="62" t="s">
        <v>525</v>
      </c>
      <c r="D92" s="42"/>
      <c r="E92" s="42"/>
      <c r="F92" s="42"/>
      <c r="G92" s="42"/>
      <c r="H92" s="42"/>
      <c r="I92" s="42"/>
      <c r="J92" s="42"/>
    </row>
    <row r="93" spans="1:10" ht="18.95" customHeight="1" x14ac:dyDescent="0.25">
      <c r="B93" s="1" t="s">
        <v>441</v>
      </c>
      <c r="C93" s="62" t="s">
        <v>526</v>
      </c>
      <c r="D93" s="42"/>
      <c r="E93" s="42"/>
      <c r="F93" s="42"/>
      <c r="G93" s="42"/>
      <c r="H93" s="42"/>
      <c r="I93" s="42"/>
      <c r="J93" s="42"/>
    </row>
    <row r="94" spans="1:10" ht="18.95" customHeight="1" x14ac:dyDescent="0.25">
      <c r="B94" s="1" t="s">
        <v>478</v>
      </c>
      <c r="C94" s="62" t="s">
        <v>527</v>
      </c>
      <c r="D94" s="42"/>
      <c r="E94" s="42"/>
      <c r="F94" s="42"/>
      <c r="G94" s="42"/>
      <c r="H94" s="42"/>
      <c r="I94" s="42"/>
      <c r="J94" s="42"/>
    </row>
    <row r="95" spans="1:10" ht="18.95" customHeight="1" x14ac:dyDescent="0.25">
      <c r="B95" s="1" t="s">
        <v>353</v>
      </c>
      <c r="C95" s="62" t="s">
        <v>528</v>
      </c>
      <c r="D95" s="42"/>
      <c r="E95" s="42"/>
      <c r="F95" s="42"/>
      <c r="G95" s="42"/>
      <c r="H95" s="42"/>
      <c r="I95" s="42"/>
      <c r="J95" s="42"/>
    </row>
    <row r="96" spans="1:10" ht="18.95" customHeight="1" x14ac:dyDescent="0.25">
      <c r="B96" s="1" t="s">
        <v>497</v>
      </c>
      <c r="C96" s="62" t="s">
        <v>529</v>
      </c>
      <c r="D96" s="42"/>
      <c r="E96" s="42"/>
      <c r="F96" s="42"/>
      <c r="G96" s="42"/>
      <c r="H96" s="42"/>
      <c r="I96" s="42"/>
      <c r="J96" s="42"/>
    </row>
    <row r="97" spans="2:10" ht="18.95" customHeight="1" x14ac:dyDescent="0.25">
      <c r="B97" s="1" t="s">
        <v>530</v>
      </c>
      <c r="C97" s="62" t="s">
        <v>531</v>
      </c>
      <c r="D97" s="42"/>
      <c r="E97" s="42"/>
      <c r="F97" s="42"/>
      <c r="G97" s="42"/>
      <c r="H97" s="42"/>
      <c r="I97" s="42"/>
      <c r="J97" s="42"/>
    </row>
    <row r="98" spans="2:10" ht="18.95" customHeight="1" x14ac:dyDescent="0.25">
      <c r="B98" s="1" t="s">
        <v>442</v>
      </c>
      <c r="C98" s="62" t="s">
        <v>532</v>
      </c>
      <c r="D98" s="42"/>
      <c r="E98" s="42"/>
      <c r="F98" s="42"/>
      <c r="G98" s="42"/>
      <c r="H98" s="42"/>
      <c r="I98" s="42"/>
      <c r="J98" s="42"/>
    </row>
    <row r="99" spans="2:10" ht="33.950000000000003" customHeight="1" x14ac:dyDescent="0.25">
      <c r="B99" s="1" t="s">
        <v>477</v>
      </c>
      <c r="C99" s="62" t="s">
        <v>533</v>
      </c>
      <c r="D99" s="42"/>
      <c r="E99" s="42"/>
      <c r="F99" s="42"/>
      <c r="G99" s="42"/>
      <c r="H99" s="42"/>
      <c r="I99" s="42"/>
      <c r="J99" s="42"/>
    </row>
    <row r="100" spans="2:10" ht="18.95" customHeight="1" x14ac:dyDescent="0.25">
      <c r="B100" s="1" t="s">
        <v>309</v>
      </c>
      <c r="C100" s="62" t="s">
        <v>534</v>
      </c>
      <c r="D100" s="42"/>
      <c r="E100" s="42"/>
      <c r="F100" s="42"/>
      <c r="G100" s="42"/>
      <c r="H100" s="42"/>
      <c r="I100" s="42"/>
      <c r="J100" s="42"/>
    </row>
    <row r="101" spans="2:10" ht="18.95" customHeight="1" x14ac:dyDescent="0.25">
      <c r="B101" s="1" t="s">
        <v>469</v>
      </c>
      <c r="C101" s="62" t="s">
        <v>535</v>
      </c>
      <c r="D101" s="42"/>
      <c r="E101" s="42"/>
      <c r="F101" s="42"/>
      <c r="G101" s="42"/>
      <c r="H101" s="42"/>
      <c r="I101" s="42"/>
      <c r="J101" s="42"/>
    </row>
    <row r="102" spans="2:10" ht="18.95" customHeight="1" x14ac:dyDescent="0.25">
      <c r="B102" s="1" t="s">
        <v>473</v>
      </c>
      <c r="C102" s="62" t="s">
        <v>536</v>
      </c>
      <c r="D102" s="42"/>
      <c r="E102" s="42"/>
      <c r="F102" s="42"/>
      <c r="G102" s="42"/>
      <c r="H102" s="42"/>
      <c r="I102" s="42"/>
      <c r="J102" s="42"/>
    </row>
    <row r="103" spans="2:10" ht="18.95" customHeight="1" x14ac:dyDescent="0.25">
      <c r="B103" s="1" t="s">
        <v>537</v>
      </c>
      <c r="C103" s="62" t="s">
        <v>538</v>
      </c>
      <c r="D103" s="42"/>
      <c r="E103" s="42"/>
      <c r="F103" s="42"/>
      <c r="G103" s="42"/>
      <c r="H103" s="42"/>
      <c r="I103" s="42"/>
      <c r="J103" s="42"/>
    </row>
    <row r="104" spans="2:10" ht="18.95" customHeight="1" x14ac:dyDescent="0.25">
      <c r="B104" s="1" t="s">
        <v>341</v>
      </c>
      <c r="C104" s="62" t="s">
        <v>539</v>
      </c>
      <c r="D104" s="42"/>
      <c r="E104" s="42"/>
      <c r="F104" s="42"/>
      <c r="G104" s="42"/>
      <c r="H104" s="42"/>
      <c r="I104" s="42"/>
      <c r="J104" s="42"/>
    </row>
    <row r="105" spans="2:10" ht="18.95" customHeight="1" x14ac:dyDescent="0.25">
      <c r="B105" s="1" t="s">
        <v>540</v>
      </c>
      <c r="C105" s="62" t="s">
        <v>541</v>
      </c>
      <c r="D105" s="42"/>
      <c r="E105" s="42"/>
      <c r="F105" s="42"/>
      <c r="G105" s="42"/>
      <c r="H105" s="42"/>
      <c r="I105" s="42"/>
      <c r="J105" s="42"/>
    </row>
    <row r="106" spans="2:10" ht="18.95" customHeight="1" x14ac:dyDescent="0.25">
      <c r="B106" s="1" t="s">
        <v>542</v>
      </c>
      <c r="C106" s="62" t="s">
        <v>543</v>
      </c>
      <c r="D106" s="42"/>
      <c r="E106" s="42"/>
      <c r="F106" s="42"/>
      <c r="G106" s="42"/>
      <c r="H106" s="42"/>
      <c r="I106" s="42"/>
      <c r="J106" s="42"/>
    </row>
    <row r="107" spans="2:10" ht="18.95" customHeight="1" x14ac:dyDescent="0.25">
      <c r="B107" s="1" t="s">
        <v>457</v>
      </c>
      <c r="C107" s="62" t="s">
        <v>544</v>
      </c>
      <c r="D107" s="42"/>
      <c r="E107" s="42"/>
      <c r="F107" s="42"/>
      <c r="G107" s="42"/>
      <c r="H107" s="42"/>
      <c r="I107" s="42"/>
      <c r="J107" s="42"/>
    </row>
    <row r="108" spans="2:10" ht="18.95" customHeight="1" x14ac:dyDescent="0.25">
      <c r="B108" s="1" t="s">
        <v>342</v>
      </c>
      <c r="C108" s="62" t="s">
        <v>545</v>
      </c>
      <c r="D108" s="42"/>
      <c r="E108" s="42"/>
      <c r="F108" s="42"/>
      <c r="G108" s="42"/>
      <c r="H108" s="42"/>
      <c r="I108" s="42"/>
      <c r="J108" s="42"/>
    </row>
    <row r="109" spans="2:10" ht="18.95" customHeight="1" x14ac:dyDescent="0.25">
      <c r="B109" s="1" t="s">
        <v>414</v>
      </c>
      <c r="C109" s="62" t="s">
        <v>546</v>
      </c>
      <c r="D109" s="42"/>
      <c r="E109" s="42"/>
      <c r="F109" s="42"/>
      <c r="G109" s="42"/>
      <c r="H109" s="42"/>
      <c r="I109" s="42"/>
      <c r="J109" s="42"/>
    </row>
    <row r="110" spans="2:10" ht="18.95" customHeight="1" x14ac:dyDescent="0.25">
      <c r="B110" s="1" t="s">
        <v>547</v>
      </c>
      <c r="C110" s="62" t="s">
        <v>548</v>
      </c>
      <c r="D110" s="42"/>
      <c r="E110" s="42"/>
      <c r="F110" s="42"/>
      <c r="G110" s="42"/>
      <c r="H110" s="42"/>
      <c r="I110" s="42"/>
      <c r="J110" s="42"/>
    </row>
    <row r="111" spans="2:10" ht="18.95" customHeight="1" x14ac:dyDescent="0.25">
      <c r="B111" s="1" t="s">
        <v>449</v>
      </c>
      <c r="C111" s="62" t="s">
        <v>549</v>
      </c>
      <c r="D111" s="42"/>
      <c r="E111" s="42"/>
      <c r="F111" s="42"/>
      <c r="G111" s="42"/>
      <c r="H111" s="42"/>
      <c r="I111" s="42"/>
      <c r="J111" s="42"/>
    </row>
    <row r="112" spans="2:10" ht="18.95" customHeight="1" x14ac:dyDescent="0.25">
      <c r="B112" s="1" t="s">
        <v>502</v>
      </c>
      <c r="C112" s="62" t="s">
        <v>550</v>
      </c>
      <c r="D112" s="42"/>
      <c r="E112" s="42"/>
      <c r="F112" s="42"/>
      <c r="G112" s="42"/>
      <c r="H112" s="42"/>
      <c r="I112" s="42"/>
      <c r="J112" s="42"/>
    </row>
    <row r="113" spans="2:10" ht="18.95" customHeight="1" x14ac:dyDescent="0.25">
      <c r="B113" s="1" t="s">
        <v>551</v>
      </c>
      <c r="C113" s="62" t="s">
        <v>552</v>
      </c>
      <c r="D113" s="42"/>
      <c r="E113" s="42"/>
      <c r="F113" s="42"/>
      <c r="G113" s="42"/>
      <c r="H113" s="42"/>
      <c r="I113" s="42"/>
      <c r="J113" s="42"/>
    </row>
    <row r="114" spans="2:10" ht="18.95" customHeight="1" x14ac:dyDescent="0.25">
      <c r="B114" s="1" t="s">
        <v>364</v>
      </c>
      <c r="C114" s="62" t="s">
        <v>553</v>
      </c>
      <c r="D114" s="42"/>
      <c r="E114" s="42"/>
      <c r="F114" s="42"/>
      <c r="G114" s="42"/>
      <c r="H114" s="42"/>
      <c r="I114" s="42"/>
      <c r="J114" s="42"/>
    </row>
    <row r="115" spans="2:10" ht="18.95" customHeight="1" x14ac:dyDescent="0.25">
      <c r="B115" s="1" t="s">
        <v>554</v>
      </c>
      <c r="C115" s="62" t="s">
        <v>555</v>
      </c>
      <c r="D115" s="42"/>
      <c r="E115" s="42"/>
      <c r="F115" s="42"/>
      <c r="G115" s="42"/>
      <c r="H115" s="42"/>
      <c r="I115" s="42"/>
      <c r="J115" s="42"/>
    </row>
    <row r="116" spans="2:10" ht="18.95" customHeight="1" x14ac:dyDescent="0.25">
      <c r="B116" s="1" t="s">
        <v>500</v>
      </c>
      <c r="C116" s="62" t="s">
        <v>556</v>
      </c>
      <c r="D116" s="42"/>
      <c r="E116" s="42"/>
      <c r="F116" s="42"/>
      <c r="G116" s="42"/>
      <c r="H116" s="42"/>
      <c r="I116" s="42"/>
      <c r="J116" s="42"/>
    </row>
    <row r="117" spans="2:10" ht="18.95" customHeight="1" x14ac:dyDescent="0.25">
      <c r="B117" s="1" t="s">
        <v>365</v>
      </c>
      <c r="C117" s="62" t="s">
        <v>557</v>
      </c>
      <c r="D117" s="42"/>
      <c r="E117" s="42"/>
      <c r="F117" s="42"/>
      <c r="G117" s="42"/>
      <c r="H117" s="42"/>
      <c r="I117" s="42"/>
      <c r="J117" s="42"/>
    </row>
    <row r="118" spans="2:10" ht="18.95" customHeight="1" x14ac:dyDescent="0.25">
      <c r="B118" s="1" t="s">
        <v>331</v>
      </c>
      <c r="C118" s="62" t="s">
        <v>558</v>
      </c>
      <c r="D118" s="42"/>
      <c r="E118" s="42"/>
      <c r="F118" s="42"/>
      <c r="G118" s="42"/>
      <c r="H118" s="42"/>
      <c r="I118" s="42"/>
      <c r="J118" s="42"/>
    </row>
    <row r="119" spans="2:10" ht="18.95" customHeight="1" x14ac:dyDescent="0.25">
      <c r="B119" s="1" t="s">
        <v>479</v>
      </c>
      <c r="C119" s="62" t="s">
        <v>559</v>
      </c>
      <c r="D119" s="42"/>
      <c r="E119" s="42"/>
      <c r="F119" s="42"/>
      <c r="G119" s="42"/>
      <c r="H119" s="42"/>
      <c r="I119" s="42"/>
      <c r="J119" s="42"/>
    </row>
    <row r="120" spans="2:10" ht="18.95" customHeight="1" x14ac:dyDescent="0.25">
      <c r="B120" s="1" t="s">
        <v>386</v>
      </c>
      <c r="C120" s="62" t="s">
        <v>560</v>
      </c>
      <c r="D120" s="42"/>
      <c r="E120" s="42"/>
      <c r="F120" s="42"/>
      <c r="G120" s="42"/>
      <c r="H120" s="42"/>
      <c r="I120" s="42"/>
      <c r="J120" s="42"/>
    </row>
    <row r="121" spans="2:10" ht="18.95" customHeight="1" x14ac:dyDescent="0.25">
      <c r="B121" s="1" t="s">
        <v>474</v>
      </c>
      <c r="C121" s="62" t="s">
        <v>561</v>
      </c>
      <c r="D121" s="42"/>
      <c r="E121" s="42"/>
      <c r="F121" s="42"/>
      <c r="G121" s="42"/>
      <c r="H121" s="42"/>
      <c r="I121" s="42"/>
      <c r="J121" s="42"/>
    </row>
    <row r="122" spans="2:10" ht="18.95" customHeight="1" x14ac:dyDescent="0.25">
      <c r="B122" s="1" t="s">
        <v>349</v>
      </c>
      <c r="C122" s="62" t="s">
        <v>562</v>
      </c>
      <c r="D122" s="42"/>
      <c r="E122" s="42"/>
      <c r="F122" s="42"/>
      <c r="G122" s="42"/>
      <c r="H122" s="42"/>
      <c r="I122" s="42"/>
      <c r="J122" s="42"/>
    </row>
    <row r="123" spans="2:10" ht="18.95" customHeight="1" x14ac:dyDescent="0.25">
      <c r="B123" s="1" t="s">
        <v>468</v>
      </c>
      <c r="C123" s="62" t="s">
        <v>563</v>
      </c>
      <c r="D123" s="42"/>
      <c r="E123" s="42"/>
      <c r="F123" s="42"/>
      <c r="G123" s="42"/>
      <c r="H123" s="42"/>
      <c r="I123" s="42"/>
      <c r="J123" s="42"/>
    </row>
    <row r="124" spans="2:10" ht="18.95" customHeight="1" x14ac:dyDescent="0.25">
      <c r="B124" s="1" t="s">
        <v>564</v>
      </c>
      <c r="C124" s="62" t="s">
        <v>565</v>
      </c>
      <c r="D124" s="42"/>
      <c r="E124" s="42"/>
      <c r="F124" s="42"/>
      <c r="G124" s="42"/>
      <c r="H124" s="42"/>
      <c r="I124" s="42"/>
      <c r="J124" s="42"/>
    </row>
    <row r="125" spans="2:10" ht="18.95" customHeight="1" x14ac:dyDescent="0.25">
      <c r="B125" s="1" t="s">
        <v>424</v>
      </c>
      <c r="C125" s="62" t="s">
        <v>566</v>
      </c>
      <c r="D125" s="42"/>
      <c r="E125" s="42"/>
      <c r="F125" s="42"/>
      <c r="G125" s="42"/>
      <c r="H125" s="42"/>
      <c r="I125" s="42"/>
      <c r="J125" s="42"/>
    </row>
    <row r="126" spans="2:10" ht="18.95" customHeight="1" x14ac:dyDescent="0.25">
      <c r="B126" s="1" t="s">
        <v>399</v>
      </c>
      <c r="C126" s="62" t="s">
        <v>567</v>
      </c>
      <c r="D126" s="42"/>
      <c r="E126" s="42"/>
      <c r="F126" s="42"/>
      <c r="G126" s="42"/>
      <c r="H126" s="42"/>
      <c r="I126" s="42"/>
      <c r="J126" s="42"/>
    </row>
    <row r="127" spans="2:10" ht="18.95" customHeight="1" x14ac:dyDescent="0.25">
      <c r="B127" s="1" t="s">
        <v>491</v>
      </c>
      <c r="C127" s="62" t="s">
        <v>568</v>
      </c>
      <c r="D127" s="42"/>
      <c r="E127" s="42"/>
      <c r="F127" s="42"/>
      <c r="G127" s="42"/>
      <c r="H127" s="42"/>
      <c r="I127" s="42"/>
      <c r="J127" s="42"/>
    </row>
    <row r="128" spans="2:10" ht="18.95" customHeight="1" x14ac:dyDescent="0.25">
      <c r="B128" s="1" t="s">
        <v>569</v>
      </c>
      <c r="C128" s="62" t="s">
        <v>570</v>
      </c>
      <c r="D128" s="42"/>
      <c r="E128" s="42"/>
      <c r="F128" s="42"/>
      <c r="G128" s="42"/>
      <c r="H128" s="42"/>
      <c r="I128" s="42"/>
      <c r="J128" s="42"/>
    </row>
    <row r="129" spans="2:10" ht="18.95" customHeight="1" x14ac:dyDescent="0.25">
      <c r="B129" s="1" t="s">
        <v>571</v>
      </c>
      <c r="C129" s="62" t="s">
        <v>570</v>
      </c>
      <c r="D129" s="42"/>
      <c r="E129" s="42"/>
      <c r="F129" s="42"/>
      <c r="G129" s="42"/>
      <c r="H129" s="42"/>
      <c r="I129" s="42"/>
      <c r="J129" s="42"/>
    </row>
    <row r="130" spans="2:10" ht="33.950000000000003" customHeight="1" x14ac:dyDescent="0.25">
      <c r="B130" s="1" t="s">
        <v>397</v>
      </c>
      <c r="C130" s="62" t="s">
        <v>572</v>
      </c>
      <c r="D130" s="42"/>
      <c r="E130" s="42"/>
      <c r="F130" s="42"/>
      <c r="G130" s="42"/>
      <c r="H130" s="42"/>
      <c r="I130" s="42"/>
      <c r="J130" s="42"/>
    </row>
    <row r="131" spans="2:10" ht="18.95" customHeight="1" x14ac:dyDescent="0.25">
      <c r="B131" s="1" t="s">
        <v>498</v>
      </c>
      <c r="C131" s="62" t="s">
        <v>573</v>
      </c>
      <c r="D131" s="42"/>
      <c r="E131" s="42"/>
      <c r="F131" s="42"/>
      <c r="G131" s="42"/>
      <c r="H131" s="42"/>
      <c r="I131" s="42"/>
      <c r="J131" s="42"/>
    </row>
    <row r="132" spans="2:10" ht="18.95" customHeight="1" x14ac:dyDescent="0.25">
      <c r="B132" s="1" t="s">
        <v>574</v>
      </c>
      <c r="C132" s="62" t="s">
        <v>575</v>
      </c>
      <c r="D132" s="42"/>
      <c r="E132" s="42"/>
      <c r="F132" s="42"/>
      <c r="G132" s="42"/>
      <c r="H132" s="42"/>
      <c r="I132" s="42"/>
      <c r="J132" s="42"/>
    </row>
    <row r="133" spans="2:10" ht="18.95" customHeight="1" x14ac:dyDescent="0.25">
      <c r="B133" s="1" t="s">
        <v>310</v>
      </c>
      <c r="C133" s="62" t="s">
        <v>576</v>
      </c>
      <c r="D133" s="42"/>
      <c r="E133" s="42"/>
      <c r="F133" s="42"/>
      <c r="G133" s="42"/>
      <c r="H133" s="42"/>
      <c r="I133" s="42"/>
      <c r="J133" s="42"/>
    </row>
    <row r="134" spans="2:10" ht="18.95" customHeight="1" x14ac:dyDescent="0.25">
      <c r="B134" s="1" t="s">
        <v>389</v>
      </c>
      <c r="C134" s="62" t="s">
        <v>577</v>
      </c>
      <c r="D134" s="42"/>
      <c r="E134" s="42"/>
      <c r="F134" s="42"/>
      <c r="G134" s="42"/>
      <c r="H134" s="42"/>
      <c r="I134" s="42"/>
      <c r="J134" s="42"/>
    </row>
    <row r="135" spans="2:10" ht="18.95" customHeight="1" x14ac:dyDescent="0.25">
      <c r="B135" s="1" t="s">
        <v>354</v>
      </c>
      <c r="C135" s="62" t="s">
        <v>578</v>
      </c>
      <c r="D135" s="42"/>
      <c r="E135" s="42"/>
      <c r="F135" s="42"/>
      <c r="G135" s="42"/>
      <c r="H135" s="42"/>
      <c r="I135" s="42"/>
      <c r="J135" s="42"/>
    </row>
    <row r="136" spans="2:10" ht="18.95" customHeight="1" x14ac:dyDescent="0.25">
      <c r="B136" s="1" t="s">
        <v>579</v>
      </c>
      <c r="C136" s="62" t="s">
        <v>580</v>
      </c>
      <c r="D136" s="42"/>
      <c r="E136" s="42"/>
      <c r="F136" s="42"/>
      <c r="G136" s="42"/>
      <c r="H136" s="42"/>
      <c r="I136" s="42"/>
      <c r="J136" s="42"/>
    </row>
    <row r="137" spans="2:10" ht="18.95" customHeight="1" x14ac:dyDescent="0.25">
      <c r="B137" s="1" t="s">
        <v>315</v>
      </c>
      <c r="C137" s="62" t="s">
        <v>581</v>
      </c>
      <c r="D137" s="42"/>
      <c r="E137" s="42"/>
      <c r="F137" s="42"/>
      <c r="G137" s="42"/>
      <c r="H137" s="42"/>
      <c r="I137" s="42"/>
      <c r="J137" s="42"/>
    </row>
    <row r="138" spans="2:10" ht="18.95" customHeight="1" x14ac:dyDescent="0.25">
      <c r="B138" s="1" t="s">
        <v>422</v>
      </c>
      <c r="C138" s="62" t="s">
        <v>582</v>
      </c>
      <c r="D138" s="42"/>
      <c r="E138" s="42"/>
      <c r="F138" s="42"/>
      <c r="G138" s="42"/>
      <c r="H138" s="42"/>
      <c r="I138" s="42"/>
      <c r="J138" s="42"/>
    </row>
    <row r="139" spans="2:10" ht="18.95" customHeight="1" x14ac:dyDescent="0.25">
      <c r="B139" s="1" t="s">
        <v>314</v>
      </c>
      <c r="C139" s="62" t="s">
        <v>583</v>
      </c>
      <c r="D139" s="42"/>
      <c r="E139" s="42"/>
      <c r="F139" s="42"/>
      <c r="G139" s="42"/>
      <c r="H139" s="42"/>
      <c r="I139" s="42"/>
      <c r="J139" s="42"/>
    </row>
    <row r="140" spans="2:10" ht="18.95" customHeight="1" x14ac:dyDescent="0.25">
      <c r="B140" s="1" t="s">
        <v>373</v>
      </c>
      <c r="C140" s="62" t="s">
        <v>584</v>
      </c>
      <c r="D140" s="42"/>
      <c r="E140" s="42"/>
      <c r="F140" s="42"/>
      <c r="G140" s="42"/>
      <c r="H140" s="42"/>
      <c r="I140" s="42"/>
      <c r="J140" s="42"/>
    </row>
    <row r="141" spans="2:10" ht="18.95" customHeight="1" x14ac:dyDescent="0.25">
      <c r="B141" s="1" t="s">
        <v>508</v>
      </c>
      <c r="C141" s="62" t="s">
        <v>585</v>
      </c>
      <c r="D141" s="42"/>
      <c r="E141" s="42"/>
      <c r="F141" s="42"/>
      <c r="G141" s="42"/>
      <c r="H141" s="42"/>
      <c r="I141" s="42"/>
      <c r="J141" s="42"/>
    </row>
    <row r="142" spans="2:10" ht="18.95" customHeight="1" x14ac:dyDescent="0.25">
      <c r="B142" s="1" t="s">
        <v>434</v>
      </c>
      <c r="C142" s="62" t="s">
        <v>586</v>
      </c>
      <c r="D142" s="42"/>
      <c r="E142" s="42"/>
      <c r="F142" s="42"/>
      <c r="G142" s="42"/>
      <c r="H142" s="42"/>
      <c r="I142" s="42"/>
      <c r="J142" s="42"/>
    </row>
    <row r="143" spans="2:10" ht="18.95" customHeight="1" x14ac:dyDescent="0.25">
      <c r="B143" s="1" t="s">
        <v>443</v>
      </c>
      <c r="C143" s="62" t="s">
        <v>587</v>
      </c>
      <c r="D143" s="42"/>
      <c r="E143" s="42"/>
      <c r="F143" s="42"/>
      <c r="G143" s="42"/>
      <c r="H143" s="42"/>
      <c r="I143" s="42"/>
      <c r="J143" s="42"/>
    </row>
    <row r="144" spans="2:10" ht="18.95" customHeight="1" x14ac:dyDescent="0.25">
      <c r="B144" s="1" t="s">
        <v>308</v>
      </c>
      <c r="C144" s="62" t="s">
        <v>588</v>
      </c>
      <c r="D144" s="42"/>
      <c r="E144" s="42"/>
      <c r="F144" s="42"/>
      <c r="G144" s="42"/>
      <c r="H144" s="42"/>
      <c r="I144" s="42"/>
      <c r="J144" s="42"/>
    </row>
    <row r="145" spans="2:10" ht="18.95" customHeight="1" x14ac:dyDescent="0.25">
      <c r="B145" s="1" t="s">
        <v>452</v>
      </c>
      <c r="C145" s="62" t="s">
        <v>589</v>
      </c>
      <c r="D145" s="42"/>
      <c r="E145" s="42"/>
      <c r="F145" s="42"/>
      <c r="G145" s="42"/>
      <c r="H145" s="42"/>
      <c r="I145" s="42"/>
      <c r="J145" s="42"/>
    </row>
    <row r="146" spans="2:10" ht="18.95" customHeight="1" x14ac:dyDescent="0.25">
      <c r="B146" s="1" t="s">
        <v>348</v>
      </c>
      <c r="C146" s="62" t="s">
        <v>590</v>
      </c>
      <c r="D146" s="42"/>
      <c r="E146" s="42"/>
      <c r="F146" s="42"/>
      <c r="G146" s="42"/>
      <c r="H146" s="42"/>
      <c r="I146" s="42"/>
      <c r="J146" s="42"/>
    </row>
    <row r="147" spans="2:10" ht="18.95" customHeight="1" x14ac:dyDescent="0.25">
      <c r="B147" s="1" t="s">
        <v>402</v>
      </c>
      <c r="C147" s="62" t="s">
        <v>591</v>
      </c>
      <c r="D147" s="42"/>
      <c r="E147" s="42"/>
      <c r="F147" s="42"/>
      <c r="G147" s="42"/>
      <c r="H147" s="42"/>
      <c r="I147" s="42"/>
      <c r="J147" s="42"/>
    </row>
    <row r="148" spans="2:10" ht="18.95" customHeight="1" x14ac:dyDescent="0.25">
      <c r="B148" s="1" t="s">
        <v>427</v>
      </c>
      <c r="C148" s="62" t="s">
        <v>592</v>
      </c>
      <c r="D148" s="42"/>
      <c r="E148" s="42"/>
      <c r="F148" s="42"/>
      <c r="G148" s="42"/>
      <c r="H148" s="42"/>
      <c r="I148" s="42"/>
      <c r="J148" s="42"/>
    </row>
    <row r="149" spans="2:10" ht="18.95" customHeight="1" x14ac:dyDescent="0.25">
      <c r="B149" s="1" t="s">
        <v>499</v>
      </c>
      <c r="C149" s="62" t="s">
        <v>556</v>
      </c>
      <c r="D149" s="42"/>
      <c r="E149" s="42"/>
      <c r="F149" s="42"/>
      <c r="G149" s="42"/>
      <c r="H149" s="42"/>
      <c r="I149" s="42"/>
      <c r="J149" s="42"/>
    </row>
    <row r="150" spans="2:10" ht="18.95" customHeight="1" x14ac:dyDescent="0.25">
      <c r="B150" s="1" t="s">
        <v>593</v>
      </c>
      <c r="C150" s="62" t="s">
        <v>594</v>
      </c>
      <c r="D150" s="42"/>
      <c r="E150" s="42"/>
      <c r="F150" s="42"/>
      <c r="G150" s="42"/>
      <c r="H150" s="42"/>
      <c r="I150" s="42"/>
      <c r="J150" s="42"/>
    </row>
    <row r="151" spans="2:10" ht="18.95" customHeight="1" x14ac:dyDescent="0.25">
      <c r="B151" s="1" t="s">
        <v>467</v>
      </c>
      <c r="C151" s="62" t="s">
        <v>595</v>
      </c>
      <c r="D151" s="42"/>
      <c r="E151" s="42"/>
      <c r="F151" s="42"/>
      <c r="G151" s="42"/>
      <c r="H151" s="42"/>
      <c r="I151" s="42"/>
      <c r="J151" s="42"/>
    </row>
    <row r="152" spans="2:10" ht="18.95" customHeight="1" x14ac:dyDescent="0.25">
      <c r="B152" s="1" t="s">
        <v>596</v>
      </c>
      <c r="C152" s="62" t="s">
        <v>597</v>
      </c>
      <c r="D152" s="42"/>
      <c r="E152" s="42"/>
      <c r="F152" s="42"/>
      <c r="G152" s="42"/>
      <c r="H152" s="42"/>
      <c r="I152" s="42"/>
      <c r="J152" s="42"/>
    </row>
    <row r="153" spans="2:10" ht="18.95" customHeight="1" x14ac:dyDescent="0.25">
      <c r="B153" s="1" t="s">
        <v>509</v>
      </c>
      <c r="C153" s="62" t="s">
        <v>598</v>
      </c>
      <c r="D153" s="42"/>
      <c r="E153" s="42"/>
      <c r="F153" s="42"/>
      <c r="G153" s="42"/>
      <c r="H153" s="42"/>
      <c r="I153" s="42"/>
      <c r="J153" s="42"/>
    </row>
    <row r="154" spans="2:10" ht="18.95" customHeight="1" x14ac:dyDescent="0.25">
      <c r="B154" s="1" t="s">
        <v>599</v>
      </c>
      <c r="C154" s="62" t="s">
        <v>600</v>
      </c>
      <c r="D154" s="42"/>
      <c r="E154" s="42"/>
      <c r="F154" s="42"/>
      <c r="G154" s="42"/>
      <c r="H154" s="42"/>
      <c r="I154" s="42"/>
      <c r="J154" s="42"/>
    </row>
    <row r="155" spans="2:10" ht="18.95" customHeight="1" x14ac:dyDescent="0.25">
      <c r="B155" s="1" t="s">
        <v>462</v>
      </c>
      <c r="C155" s="62" t="s">
        <v>601</v>
      </c>
      <c r="D155" s="42"/>
      <c r="E155" s="42"/>
      <c r="F155" s="42"/>
      <c r="G155" s="42"/>
      <c r="H155" s="42"/>
      <c r="I155" s="42"/>
      <c r="J155" s="42"/>
    </row>
  </sheetData>
  <autoFilter ref="A3:J79" xr:uid="{00000000-0009-0000-0000-000004000000}"/>
  <mergeCells count="77">
    <mergeCell ref="A1:J1"/>
    <mergeCell ref="C95:J95"/>
    <mergeCell ref="C91:J91"/>
    <mergeCell ref="C140:J140"/>
    <mergeCell ref="C155:J155"/>
    <mergeCell ref="C83:J83"/>
    <mergeCell ref="C108:J108"/>
    <mergeCell ref="C97:J97"/>
    <mergeCell ref="C128:J128"/>
    <mergeCell ref="C100:J100"/>
    <mergeCell ref="C94:J94"/>
    <mergeCell ref="C109:J109"/>
    <mergeCell ref="C84:J84"/>
    <mergeCell ref="A2:J2"/>
    <mergeCell ref="C96:J96"/>
    <mergeCell ref="C136:J136"/>
    <mergeCell ref="C92:J92"/>
    <mergeCell ref="C98:J98"/>
    <mergeCell ref="C134:J134"/>
    <mergeCell ref="C93:J93"/>
    <mergeCell ref="C124:J124"/>
    <mergeCell ref="C90:J90"/>
    <mergeCell ref="C105:J105"/>
    <mergeCell ref="C123:J123"/>
    <mergeCell ref="C120:J120"/>
    <mergeCell ref="C132:J132"/>
    <mergeCell ref="C110:J110"/>
    <mergeCell ref="C119:J119"/>
    <mergeCell ref="C82:J82"/>
    <mergeCell ref="C154:J154"/>
    <mergeCell ref="C107:J107"/>
    <mergeCell ref="C89:J89"/>
    <mergeCell ref="C104:J104"/>
    <mergeCell ref="A81:J81"/>
    <mergeCell ref="C116:J116"/>
    <mergeCell ref="C88:J88"/>
    <mergeCell ref="C121:J121"/>
    <mergeCell ref="C117:J117"/>
    <mergeCell ref="C115:J115"/>
    <mergeCell ref="C135:J135"/>
    <mergeCell ref="C149:J149"/>
    <mergeCell ref="C122:J122"/>
    <mergeCell ref="C147:J147"/>
    <mergeCell ref="C137:J137"/>
    <mergeCell ref="C146:J146"/>
    <mergeCell ref="C153:J153"/>
    <mergeCell ref="C106:J106"/>
    <mergeCell ref="C125:J125"/>
    <mergeCell ref="C131:J131"/>
    <mergeCell ref="C145:J145"/>
    <mergeCell ref="C139:J139"/>
    <mergeCell ref="C148:J148"/>
    <mergeCell ref="C138:J138"/>
    <mergeCell ref="C111:J111"/>
    <mergeCell ref="C152:J152"/>
    <mergeCell ref="C142:J142"/>
    <mergeCell ref="C129:J129"/>
    <mergeCell ref="C85:J85"/>
    <mergeCell ref="C143:J143"/>
    <mergeCell ref="C112:J112"/>
    <mergeCell ref="C99:J99"/>
    <mergeCell ref="C118:J118"/>
    <mergeCell ref="C133:J133"/>
    <mergeCell ref="C127:J127"/>
    <mergeCell ref="C114:J114"/>
    <mergeCell ref="C130:J130"/>
    <mergeCell ref="C87:J87"/>
    <mergeCell ref="C102:J102"/>
    <mergeCell ref="C86:J86"/>
    <mergeCell ref="C101:J101"/>
    <mergeCell ref="C151:J151"/>
    <mergeCell ref="C126:J126"/>
    <mergeCell ref="C141:J141"/>
    <mergeCell ref="C113:J113"/>
    <mergeCell ref="C103:J103"/>
    <mergeCell ref="C150:J150"/>
    <mergeCell ref="C144:J144"/>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98E2B"/>
  </sheetPr>
  <dimension ref="A1:F27"/>
  <sheetViews>
    <sheetView showGridLines="0" workbookViewId="0">
      <pane xSplit="1" ySplit="3" topLeftCell="B4" activePane="bottomRight" state="frozen"/>
      <selection pane="topRight"/>
      <selection pane="bottomLeft"/>
      <selection pane="bottomRight"/>
    </sheetView>
  </sheetViews>
  <sheetFormatPr defaultRowHeight="15" x14ac:dyDescent="0.25"/>
  <cols>
    <col min="1" max="1" width="14" customWidth="1"/>
    <col min="2" max="4" width="36" customWidth="1"/>
    <col min="5" max="5" width="30" customWidth="1"/>
    <col min="6" max="6" width="36" customWidth="1"/>
  </cols>
  <sheetData>
    <row r="1" spans="1:6" ht="33.950000000000003" customHeight="1" x14ac:dyDescent="0.25">
      <c r="A1" s="59" t="s">
        <v>602</v>
      </c>
      <c r="B1" s="50"/>
      <c r="C1" s="50"/>
      <c r="D1" s="50"/>
      <c r="E1" s="50"/>
      <c r="F1" s="50"/>
    </row>
    <row r="2" spans="1:6" ht="30" customHeight="1" x14ac:dyDescent="0.25">
      <c r="A2" s="49" t="s">
        <v>603</v>
      </c>
      <c r="B2" s="50"/>
      <c r="C2" s="50"/>
      <c r="D2" s="50"/>
      <c r="E2" s="50"/>
      <c r="F2" s="50"/>
    </row>
    <row r="3" spans="1:6" ht="21.95" customHeight="1" x14ac:dyDescent="0.25">
      <c r="A3" s="4" t="s">
        <v>604</v>
      </c>
      <c r="B3" s="4" t="s">
        <v>5</v>
      </c>
      <c r="C3" s="4" t="s">
        <v>605</v>
      </c>
      <c r="D3" s="4" t="s">
        <v>101</v>
      </c>
      <c r="E3" s="4" t="s">
        <v>606</v>
      </c>
      <c r="F3" s="4" t="s">
        <v>607</v>
      </c>
    </row>
    <row r="4" spans="1:6" ht="48.95" customHeight="1" x14ac:dyDescent="0.25">
      <c r="A4" s="5" t="s">
        <v>608</v>
      </c>
      <c r="B4" s="6" t="s">
        <v>609</v>
      </c>
      <c r="C4" s="6" t="s">
        <v>610</v>
      </c>
      <c r="D4" s="6" t="s">
        <v>611</v>
      </c>
      <c r="E4" s="6" t="s">
        <v>612</v>
      </c>
      <c r="F4" s="15" t="s">
        <v>613</v>
      </c>
    </row>
    <row r="5" spans="1:6" ht="33.950000000000003" customHeight="1" x14ac:dyDescent="0.25">
      <c r="A5" s="5" t="s">
        <v>614</v>
      </c>
      <c r="B5" s="6" t="s">
        <v>615</v>
      </c>
      <c r="C5" s="6" t="s">
        <v>616</v>
      </c>
      <c r="D5" s="6" t="s">
        <v>617</v>
      </c>
      <c r="E5" s="6" t="s">
        <v>618</v>
      </c>
      <c r="F5" s="6" t="s">
        <v>619</v>
      </c>
    </row>
    <row r="6" spans="1:6" ht="48.95" customHeight="1" x14ac:dyDescent="0.25">
      <c r="A6" s="5" t="s">
        <v>620</v>
      </c>
      <c r="B6" s="6" t="s">
        <v>621</v>
      </c>
      <c r="C6" s="6" t="s">
        <v>622</v>
      </c>
      <c r="D6" s="6" t="s">
        <v>623</v>
      </c>
      <c r="E6" s="6" t="s">
        <v>624</v>
      </c>
      <c r="F6" s="6" t="s">
        <v>625</v>
      </c>
    </row>
    <row r="7" spans="1:6" ht="33.950000000000003" customHeight="1" x14ac:dyDescent="0.25">
      <c r="A7" s="5" t="s">
        <v>626</v>
      </c>
      <c r="B7" s="6" t="s">
        <v>627</v>
      </c>
      <c r="C7" s="6" t="s">
        <v>628</v>
      </c>
      <c r="D7" s="6" t="s">
        <v>629</v>
      </c>
      <c r="E7" s="6" t="s">
        <v>630</v>
      </c>
      <c r="F7" s="6" t="s">
        <v>631</v>
      </c>
    </row>
    <row r="8" spans="1:6" ht="33.950000000000003" customHeight="1" x14ac:dyDescent="0.25">
      <c r="A8" s="5" t="s">
        <v>632</v>
      </c>
      <c r="B8" s="6" t="s">
        <v>633</v>
      </c>
      <c r="C8" s="6" t="s">
        <v>634</v>
      </c>
      <c r="D8" s="6" t="s">
        <v>635</v>
      </c>
      <c r="E8" s="6" t="s">
        <v>636</v>
      </c>
      <c r="F8" s="6" t="s">
        <v>637</v>
      </c>
    </row>
    <row r="9" spans="1:6" ht="33.950000000000003" customHeight="1" x14ac:dyDescent="0.25">
      <c r="A9" s="5" t="s">
        <v>638</v>
      </c>
      <c r="B9" s="6" t="s">
        <v>639</v>
      </c>
      <c r="C9" s="6" t="s">
        <v>640</v>
      </c>
      <c r="D9" s="6" t="s">
        <v>641</v>
      </c>
      <c r="E9" s="6" t="s">
        <v>642</v>
      </c>
      <c r="F9" s="6" t="s">
        <v>643</v>
      </c>
    </row>
    <row r="10" spans="1:6" ht="33.950000000000003" customHeight="1" x14ac:dyDescent="0.25">
      <c r="A10" s="5" t="s">
        <v>644</v>
      </c>
      <c r="B10" s="6" t="s">
        <v>645</v>
      </c>
      <c r="C10" s="6" t="s">
        <v>646</v>
      </c>
      <c r="D10" s="6" t="s">
        <v>647</v>
      </c>
      <c r="E10" s="6" t="s">
        <v>648</v>
      </c>
      <c r="F10" s="6"/>
    </row>
    <row r="11" spans="1:6" ht="33.950000000000003" customHeight="1" x14ac:dyDescent="0.25">
      <c r="A11" s="5" t="s">
        <v>649</v>
      </c>
      <c r="B11" s="6" t="s">
        <v>633</v>
      </c>
      <c r="C11" s="6" t="s">
        <v>650</v>
      </c>
      <c r="D11" s="6" t="s">
        <v>651</v>
      </c>
      <c r="E11" s="6" t="s">
        <v>652</v>
      </c>
      <c r="F11" s="6" t="s">
        <v>653</v>
      </c>
    </row>
    <row r="12" spans="1:6" ht="33.950000000000003" customHeight="1" x14ac:dyDescent="0.25">
      <c r="A12" s="5" t="s">
        <v>654</v>
      </c>
      <c r="B12" s="6" t="s">
        <v>655</v>
      </c>
      <c r="C12" s="6" t="s">
        <v>656</v>
      </c>
      <c r="D12" s="6" t="s">
        <v>657</v>
      </c>
      <c r="E12" s="6" t="s">
        <v>636</v>
      </c>
      <c r="F12" s="15" t="s">
        <v>658</v>
      </c>
    </row>
    <row r="13" spans="1:6" ht="33.950000000000003" customHeight="1" x14ac:dyDescent="0.25">
      <c r="A13" s="5" t="s">
        <v>659</v>
      </c>
      <c r="B13" s="6" t="s">
        <v>660</v>
      </c>
      <c r="C13" s="6" t="s">
        <v>661</v>
      </c>
      <c r="D13" s="6" t="s">
        <v>662</v>
      </c>
      <c r="E13" s="6" t="s">
        <v>663</v>
      </c>
      <c r="F13" s="6" t="s">
        <v>664</v>
      </c>
    </row>
    <row r="14" spans="1:6" ht="33.950000000000003" customHeight="1" x14ac:dyDescent="0.25">
      <c r="A14" s="5" t="s">
        <v>665</v>
      </c>
      <c r="B14" s="6" t="s">
        <v>666</v>
      </c>
      <c r="C14" s="6" t="s">
        <v>667</v>
      </c>
      <c r="D14" s="6" t="s">
        <v>668</v>
      </c>
      <c r="E14" s="6" t="s">
        <v>669</v>
      </c>
      <c r="F14" s="6" t="s">
        <v>670</v>
      </c>
    </row>
    <row r="15" spans="1:6" ht="33.950000000000003" customHeight="1" x14ac:dyDescent="0.25">
      <c r="A15" s="5" t="s">
        <v>671</v>
      </c>
      <c r="B15" s="6" t="s">
        <v>672</v>
      </c>
      <c r="C15" s="6" t="s">
        <v>673</v>
      </c>
      <c r="D15" s="6" t="s">
        <v>674</v>
      </c>
      <c r="E15" s="6" t="s">
        <v>675</v>
      </c>
      <c r="F15" s="6"/>
    </row>
    <row r="17" spans="1:6" ht="21.95" customHeight="1" x14ac:dyDescent="0.25">
      <c r="A17" s="52" t="s">
        <v>676</v>
      </c>
      <c r="B17" s="53"/>
      <c r="C17" s="53"/>
      <c r="D17" s="53"/>
      <c r="E17" s="53"/>
      <c r="F17" s="53"/>
    </row>
    <row r="18" spans="1:6" ht="21.95" customHeight="1" x14ac:dyDescent="0.25">
      <c r="A18" s="4" t="s">
        <v>677</v>
      </c>
      <c r="B18" s="4" t="s">
        <v>678</v>
      </c>
      <c r="C18" s="4" t="s">
        <v>17</v>
      </c>
      <c r="D18" s="4" t="s">
        <v>679</v>
      </c>
      <c r="E18" s="4" t="s">
        <v>680</v>
      </c>
      <c r="F18" s="4"/>
    </row>
    <row r="19" spans="1:6" ht="25.5" x14ac:dyDescent="0.25">
      <c r="A19" s="7">
        <v>1</v>
      </c>
      <c r="B19" s="6" t="s">
        <v>681</v>
      </c>
      <c r="C19" s="6" t="s">
        <v>23</v>
      </c>
      <c r="D19" s="6" t="s">
        <v>5</v>
      </c>
      <c r="E19" s="6" t="s">
        <v>682</v>
      </c>
      <c r="F19" s="6"/>
    </row>
    <row r="20" spans="1:6" x14ac:dyDescent="0.25">
      <c r="A20" s="7">
        <v>2</v>
      </c>
      <c r="B20" s="6" t="s">
        <v>152</v>
      </c>
      <c r="C20" s="6" t="s">
        <v>37</v>
      </c>
      <c r="D20" s="6" t="s">
        <v>5</v>
      </c>
      <c r="E20" s="6" t="s">
        <v>683</v>
      </c>
      <c r="F20" s="6"/>
    </row>
    <row r="21" spans="1:6" x14ac:dyDescent="0.25">
      <c r="A21" s="7">
        <v>3</v>
      </c>
      <c r="B21" s="6" t="s">
        <v>684</v>
      </c>
      <c r="C21" s="6" t="s">
        <v>37</v>
      </c>
      <c r="D21" s="6" t="s">
        <v>685</v>
      </c>
      <c r="E21" s="6" t="s">
        <v>686</v>
      </c>
      <c r="F21" s="6"/>
    </row>
    <row r="22" spans="1:6" x14ac:dyDescent="0.25">
      <c r="A22" s="7">
        <v>4</v>
      </c>
      <c r="B22" s="6" t="s">
        <v>687</v>
      </c>
      <c r="C22" s="6" t="s">
        <v>37</v>
      </c>
      <c r="D22" s="6" t="s">
        <v>688</v>
      </c>
      <c r="E22" s="6" t="s">
        <v>689</v>
      </c>
      <c r="F22" s="6"/>
    </row>
    <row r="23" spans="1:6" x14ac:dyDescent="0.25">
      <c r="A23" s="7">
        <v>5</v>
      </c>
      <c r="B23" s="6" t="s">
        <v>690</v>
      </c>
      <c r="C23" s="6" t="s">
        <v>44</v>
      </c>
      <c r="D23" s="6" t="s">
        <v>5</v>
      </c>
      <c r="E23" s="6" t="s">
        <v>691</v>
      </c>
      <c r="F23" s="6"/>
    </row>
    <row r="24" spans="1:6" x14ac:dyDescent="0.25">
      <c r="A24" s="7">
        <v>6</v>
      </c>
      <c r="B24" s="6" t="s">
        <v>692</v>
      </c>
      <c r="C24" s="6" t="s">
        <v>44</v>
      </c>
      <c r="D24" s="6" t="s">
        <v>5</v>
      </c>
      <c r="E24" s="6" t="s">
        <v>693</v>
      </c>
      <c r="F24" s="6"/>
    </row>
    <row r="25" spans="1:6" x14ac:dyDescent="0.25">
      <c r="A25" s="7">
        <v>7</v>
      </c>
      <c r="B25" s="6" t="s">
        <v>694</v>
      </c>
      <c r="C25" s="6" t="s">
        <v>695</v>
      </c>
      <c r="D25" s="6" t="s">
        <v>696</v>
      </c>
      <c r="E25" s="6" t="s">
        <v>697</v>
      </c>
      <c r="F25" s="6"/>
    </row>
    <row r="26" spans="1:6" x14ac:dyDescent="0.25">
      <c r="A26" s="7">
        <v>8</v>
      </c>
      <c r="B26" s="6" t="s">
        <v>698</v>
      </c>
      <c r="C26" s="6" t="s">
        <v>699</v>
      </c>
      <c r="D26" s="6" t="s">
        <v>700</v>
      </c>
      <c r="E26" s="6" t="s">
        <v>701</v>
      </c>
      <c r="F26" s="6"/>
    </row>
    <row r="27" spans="1:6" ht="25.5" x14ac:dyDescent="0.25">
      <c r="A27" s="7">
        <v>9</v>
      </c>
      <c r="B27" s="6" t="s">
        <v>199</v>
      </c>
      <c r="C27" s="6" t="s">
        <v>702</v>
      </c>
      <c r="D27" s="6" t="s">
        <v>703</v>
      </c>
      <c r="E27" s="6" t="s">
        <v>704</v>
      </c>
      <c r="F27" s="6"/>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98E2B"/>
  </sheetPr>
  <dimension ref="A1:G33"/>
  <sheetViews>
    <sheetView showGridLines="0" workbookViewId="0"/>
  </sheetViews>
  <sheetFormatPr defaultRowHeight="15" x14ac:dyDescent="0.25"/>
  <cols>
    <col min="1" max="1" width="30" customWidth="1"/>
    <col min="2" max="2" width="12" customWidth="1"/>
    <col min="3" max="3" width="13" customWidth="1"/>
    <col min="4" max="4" width="12" customWidth="1"/>
    <col min="5" max="5" width="10" customWidth="1"/>
    <col min="6" max="6" width="14" customWidth="1"/>
    <col min="7" max="7" width="30" customWidth="1"/>
  </cols>
  <sheetData>
    <row r="1" spans="1:7" ht="33.950000000000003" customHeight="1" x14ac:dyDescent="0.25">
      <c r="A1" s="59" t="s">
        <v>705</v>
      </c>
      <c r="B1" s="50"/>
      <c r="C1" s="50"/>
      <c r="D1" s="50"/>
      <c r="E1" s="50"/>
      <c r="F1" s="50"/>
      <c r="G1" s="50"/>
    </row>
    <row r="2" spans="1:7" ht="30" customHeight="1" x14ac:dyDescent="0.25">
      <c r="A2" s="49" t="s">
        <v>706</v>
      </c>
      <c r="B2" s="50"/>
      <c r="C2" s="50"/>
      <c r="D2" s="50"/>
      <c r="E2" s="50"/>
      <c r="F2" s="50"/>
      <c r="G2" s="50"/>
    </row>
    <row r="4" spans="1:7" ht="21.95" customHeight="1" x14ac:dyDescent="0.25">
      <c r="A4" s="52" t="s">
        <v>707</v>
      </c>
      <c r="B4" s="53"/>
      <c r="C4" s="53"/>
      <c r="D4" s="53"/>
      <c r="E4" s="53"/>
      <c r="F4" s="53"/>
      <c r="G4" s="53"/>
    </row>
    <row r="5" spans="1:7" x14ac:dyDescent="0.25">
      <c r="A5" s="1" t="s">
        <v>708</v>
      </c>
      <c r="B5" s="16">
        <f>INÍCIO!B7</f>
        <v>191</v>
      </c>
      <c r="C5" s="63" t="s">
        <v>709</v>
      </c>
      <c r="D5" s="42"/>
      <c r="E5" s="42"/>
      <c r="F5" s="42"/>
      <c r="G5" s="42"/>
    </row>
    <row r="6" spans="1:7" x14ac:dyDescent="0.25">
      <c r="A6" s="1" t="s">
        <v>710</v>
      </c>
      <c r="B6" s="17" t="s">
        <v>95</v>
      </c>
      <c r="C6" s="63" t="s">
        <v>711</v>
      </c>
      <c r="D6" s="42"/>
      <c r="E6" s="42"/>
      <c r="F6" s="42"/>
      <c r="G6" s="42"/>
    </row>
    <row r="7" spans="1:7" x14ac:dyDescent="0.25">
      <c r="A7" s="1" t="s">
        <v>712</v>
      </c>
      <c r="B7" s="17" t="s">
        <v>95</v>
      </c>
      <c r="C7" s="63" t="s">
        <v>713</v>
      </c>
      <c r="D7" s="42"/>
      <c r="E7" s="42"/>
      <c r="F7" s="42"/>
      <c r="G7" s="42"/>
    </row>
    <row r="8" spans="1:7" x14ac:dyDescent="0.25">
      <c r="A8" s="1" t="s">
        <v>714</v>
      </c>
      <c r="B8" s="18">
        <v>0</v>
      </c>
      <c r="C8" s="63" t="s">
        <v>715</v>
      </c>
      <c r="D8" s="42"/>
      <c r="E8" s="42"/>
      <c r="F8" s="42"/>
      <c r="G8" s="42"/>
    </row>
    <row r="9" spans="1:7" x14ac:dyDescent="0.25">
      <c r="A9" s="1" t="s">
        <v>716</v>
      </c>
      <c r="B9" s="17" t="s">
        <v>100</v>
      </c>
      <c r="C9" s="63" t="s">
        <v>717</v>
      </c>
      <c r="D9" s="42"/>
      <c r="E9" s="42"/>
      <c r="F9" s="42"/>
      <c r="G9" s="42"/>
    </row>
    <row r="10" spans="1:7" x14ac:dyDescent="0.25">
      <c r="A10" s="1" t="s">
        <v>718</v>
      </c>
      <c r="B10" s="17">
        <v>0</v>
      </c>
      <c r="C10" s="63"/>
      <c r="D10" s="42"/>
      <c r="E10" s="42"/>
      <c r="F10" s="42"/>
      <c r="G10" s="42"/>
    </row>
    <row r="11" spans="1:7" x14ac:dyDescent="0.25">
      <c r="A11" s="1" t="s">
        <v>719</v>
      </c>
      <c r="B11" s="19">
        <f>IF(B7="Sim",0.25,0)+B8+IF(B9="Sim",0.02*B10,0)</f>
        <v>0.25</v>
      </c>
    </row>
    <row r="12" spans="1:7" x14ac:dyDescent="0.25">
      <c r="A12" s="1" t="s">
        <v>720</v>
      </c>
      <c r="B12" s="19">
        <f>B8+IF(B9="Sim",0.02*B10,0)</f>
        <v>0</v>
      </c>
    </row>
    <row r="13" spans="1:7" x14ac:dyDescent="0.25">
      <c r="A13" s="1" t="s">
        <v>721</v>
      </c>
      <c r="B13">
        <f>IF(B6="Sim",1.3,1)</f>
        <v>1.3</v>
      </c>
      <c r="C13">
        <f>IF(B6="Sim",0.8,1)</f>
        <v>0.8</v>
      </c>
    </row>
    <row r="15" spans="1:7" ht="21.95" customHeight="1" x14ac:dyDescent="0.25">
      <c r="A15" s="54" t="s">
        <v>722</v>
      </c>
      <c r="B15" s="55"/>
      <c r="C15" s="55"/>
      <c r="D15" s="55"/>
      <c r="E15" s="55"/>
      <c r="F15" s="55"/>
      <c r="G15" s="55"/>
    </row>
    <row r="16" spans="1:7" ht="21.95" customHeight="1" x14ac:dyDescent="0.25">
      <c r="A16" s="4" t="s">
        <v>723</v>
      </c>
      <c r="B16" s="4" t="s">
        <v>724</v>
      </c>
      <c r="C16" s="4" t="s">
        <v>91</v>
      </c>
      <c r="D16" s="4" t="s">
        <v>725</v>
      </c>
      <c r="E16" s="4" t="s">
        <v>92</v>
      </c>
      <c r="F16" s="4" t="s">
        <v>726</v>
      </c>
      <c r="G16" s="4" t="s">
        <v>607</v>
      </c>
    </row>
    <row r="17" spans="1:7" x14ac:dyDescent="0.25">
      <c r="A17" s="20" t="s">
        <v>727</v>
      </c>
      <c r="B17" s="21" t="s">
        <v>95</v>
      </c>
      <c r="C17" s="21" t="s">
        <v>96</v>
      </c>
      <c r="D17" s="21">
        <v>47.4</v>
      </c>
      <c r="E17" s="21" t="s">
        <v>97</v>
      </c>
      <c r="F17" s="22">
        <f t="shared" ref="F17:F26" si="0">IF(B17&lt;&gt;"Sim",0,IF(E17="%",D17/100*$B$5,D17)/IF(C17="Companion",(1+$B$11)*$B$13,(1+$B$12)*$C$13))</f>
        <v>55.713230769230762</v>
      </c>
      <c r="G17" s="23" t="s">
        <v>728</v>
      </c>
    </row>
    <row r="18" spans="1:7" x14ac:dyDescent="0.25">
      <c r="A18" s="20" t="s">
        <v>729</v>
      </c>
      <c r="B18" s="21" t="s">
        <v>95</v>
      </c>
      <c r="C18" s="21" t="s">
        <v>96</v>
      </c>
      <c r="D18" s="21">
        <v>42.3</v>
      </c>
      <c r="E18" s="21" t="s">
        <v>97</v>
      </c>
      <c r="F18" s="22">
        <f t="shared" si="0"/>
        <v>49.718769230769226</v>
      </c>
      <c r="G18" s="23" t="s">
        <v>730</v>
      </c>
    </row>
    <row r="19" spans="1:7" x14ac:dyDescent="0.25">
      <c r="A19" s="20" t="s">
        <v>329</v>
      </c>
      <c r="B19" s="21" t="s">
        <v>95</v>
      </c>
      <c r="C19" s="21" t="s">
        <v>96</v>
      </c>
      <c r="D19" s="21">
        <v>0</v>
      </c>
      <c r="E19" s="21" t="s">
        <v>103</v>
      </c>
      <c r="F19" s="22">
        <f t="shared" si="0"/>
        <v>0</v>
      </c>
      <c r="G19" s="23" t="s">
        <v>731</v>
      </c>
    </row>
    <row r="20" spans="1:7" x14ac:dyDescent="0.25">
      <c r="A20" s="20" t="s">
        <v>732</v>
      </c>
      <c r="B20" s="21" t="s">
        <v>95</v>
      </c>
      <c r="C20" s="21" t="s">
        <v>102</v>
      </c>
      <c r="D20" s="21">
        <v>0</v>
      </c>
      <c r="E20" s="21" t="s">
        <v>103</v>
      </c>
      <c r="F20" s="22">
        <f t="shared" si="0"/>
        <v>0</v>
      </c>
      <c r="G20" s="23" t="s">
        <v>733</v>
      </c>
    </row>
    <row r="21" spans="1:7" x14ac:dyDescent="0.25">
      <c r="A21" s="20" t="s">
        <v>734</v>
      </c>
      <c r="B21" s="21" t="s">
        <v>100</v>
      </c>
      <c r="C21" s="21" t="s">
        <v>102</v>
      </c>
      <c r="D21" s="21">
        <v>0</v>
      </c>
      <c r="E21" s="21" t="s">
        <v>103</v>
      </c>
      <c r="F21" s="22">
        <f t="shared" si="0"/>
        <v>0</v>
      </c>
      <c r="G21" s="23" t="s">
        <v>733</v>
      </c>
    </row>
    <row r="22" spans="1:7" x14ac:dyDescent="0.25">
      <c r="A22" s="20" t="s">
        <v>382</v>
      </c>
      <c r="B22" s="21" t="s">
        <v>100</v>
      </c>
      <c r="C22" s="21" t="s">
        <v>102</v>
      </c>
      <c r="D22" s="21">
        <v>0</v>
      </c>
      <c r="E22" s="21" t="s">
        <v>103</v>
      </c>
      <c r="F22" s="22">
        <f t="shared" si="0"/>
        <v>0</v>
      </c>
      <c r="G22" s="23" t="s">
        <v>735</v>
      </c>
    </row>
    <row r="23" spans="1:7" x14ac:dyDescent="0.25">
      <c r="A23" s="20" t="s">
        <v>430</v>
      </c>
      <c r="B23" s="21" t="s">
        <v>100</v>
      </c>
      <c r="C23" s="21" t="s">
        <v>102</v>
      </c>
      <c r="D23" s="21">
        <v>0</v>
      </c>
      <c r="E23" s="21" t="s">
        <v>103</v>
      </c>
      <c r="F23" s="22">
        <f t="shared" si="0"/>
        <v>0</v>
      </c>
      <c r="G23" s="23"/>
    </row>
    <row r="24" spans="1:7" x14ac:dyDescent="0.25">
      <c r="A24" s="20" t="s">
        <v>736</v>
      </c>
      <c r="B24" s="21" t="s">
        <v>100</v>
      </c>
      <c r="C24" s="21" t="s">
        <v>96</v>
      </c>
      <c r="D24" s="21">
        <v>45.3</v>
      </c>
      <c r="E24" s="21" t="s">
        <v>97</v>
      </c>
      <c r="F24" s="22">
        <f t="shared" si="0"/>
        <v>0</v>
      </c>
      <c r="G24" s="23" t="s">
        <v>737</v>
      </c>
    </row>
    <row r="25" spans="1:7" x14ac:dyDescent="0.25">
      <c r="A25" s="20" t="s">
        <v>738</v>
      </c>
      <c r="B25" s="21" t="s">
        <v>100</v>
      </c>
      <c r="C25" s="21" t="s">
        <v>96</v>
      </c>
      <c r="D25" s="21">
        <v>31.2</v>
      </c>
      <c r="E25" s="21" t="s">
        <v>97</v>
      </c>
      <c r="F25" s="22">
        <f t="shared" si="0"/>
        <v>0</v>
      </c>
      <c r="G25" s="23" t="s">
        <v>739</v>
      </c>
    </row>
    <row r="26" spans="1:7" x14ac:dyDescent="0.25">
      <c r="A26" s="20" t="s">
        <v>102</v>
      </c>
      <c r="B26" s="21" t="s">
        <v>100</v>
      </c>
      <c r="C26" s="21" t="s">
        <v>102</v>
      </c>
      <c r="D26" s="21">
        <v>0</v>
      </c>
      <c r="E26" s="21" t="s">
        <v>103</v>
      </c>
      <c r="F26" s="22">
        <f t="shared" si="0"/>
        <v>0</v>
      </c>
      <c r="G26" s="23"/>
    </row>
    <row r="28" spans="1:7" ht="15.75" x14ac:dyDescent="0.25">
      <c r="A28" s="24" t="s">
        <v>740</v>
      </c>
      <c r="B28" s="25">
        <f>SUM(F17:F26)</f>
        <v>105.43199999999999</v>
      </c>
    </row>
    <row r="29" spans="1:7" ht="15.75" x14ac:dyDescent="0.25">
      <c r="A29" s="24" t="s">
        <v>741</v>
      </c>
      <c r="B29" s="25">
        <f>B5-B28</f>
        <v>85.568000000000012</v>
      </c>
    </row>
    <row r="30" spans="1:7" ht="15.75" x14ac:dyDescent="0.25">
      <c r="A30" s="24" t="s">
        <v>742</v>
      </c>
      <c r="B30" s="26">
        <f>IFERROR(B28/B5,0)</f>
        <v>0.55199999999999994</v>
      </c>
    </row>
    <row r="31" spans="1:7" ht="15.75" x14ac:dyDescent="0.25">
      <c r="A31" s="24" t="s">
        <v>88</v>
      </c>
      <c r="B31" s="64" t="str">
        <f>IF(B29&lt;0,"ESTOUROU — desligue algo",IF(B30&gt;0.9,"No limite","OK"))</f>
        <v>OK</v>
      </c>
      <c r="C31" s="42"/>
      <c r="D31" s="42"/>
    </row>
    <row r="33" spans="1:7" x14ac:dyDescent="0.25">
      <c r="A33" s="63" t="s">
        <v>743</v>
      </c>
      <c r="B33" s="42"/>
      <c r="C33" s="42"/>
      <c r="D33" s="42"/>
      <c r="E33" s="42"/>
      <c r="F33" s="42"/>
      <c r="G33" s="42"/>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dxfId="11" priority="1" operator="lessThan">
      <formula>0</formula>
    </cfRule>
  </conditionalFormatting>
  <conditionalFormatting sqref="B30">
    <cfRule type="dataBar" priority="2">
      <dataBar>
        <cfvo type="num" val="0"/>
        <cfvo type="num" val="1"/>
        <color rgb="FFC98E2B"/>
      </dataBar>
    </cfRule>
  </conditionalFormatting>
  <conditionalFormatting sqref="B31">
    <cfRule type="expression" dxfId="10" priority="3">
      <formula>LEFT(B31,3)="EST"</formula>
    </cfRule>
    <cfRule type="expression" dxfId="9" priority="4">
      <formula>B31="OK"</formula>
    </cfRule>
  </conditionalFormatting>
  <pageMargins left="0.75" right="0.75" top="1" bottom="1" header="0.5" footer="0.5"/>
  <extLst>
    <ext xmlns:x14="http://schemas.microsoft.com/office/spreadsheetml/2009/9/main" uri="{CCE6A557-97BC-4b89-ADB6-D9C93CAAB3DF}">
      <x14:dataValidations xmlns:xm="http://schemas.microsoft.com/office/excel/2006/main" count="3">
        <x14:dataValidation type="list" xr:uid="{00000000-0002-0000-0600-000000000000}">
          <x14:formula1>
            <xm:f>Listas!$I$2:$I$3</xm:f>
          </x14:formula1>
          <xm:sqref>B6 B7 B9 B17 B18 B19 B20 B21 B22 B23 B24 B25 B26</xm:sqref>
        </x14:dataValidation>
        <x14:dataValidation type="list" xr:uid="{00000000-0002-0000-0600-000001000000}">
          <x14:formula1>
            <xm:f>Listas!$K$2:$K$3</xm:f>
          </x14:formula1>
          <xm:sqref>C17 C18 C19 C20 C21 C22 C23 C24 C25 C26</xm:sqref>
        </x14:dataValidation>
        <x14:dataValidation type="list" xr:uid="{00000000-0002-0000-0600-000002000000}">
          <x14:formula1>
            <xm:f>Listas!$L$2:$L$3</xm:f>
          </x14:formula1>
          <xm:sqref>E17 E18 E19 E20 E21 E22 E23 E24 E25 E26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E9E86"/>
  </sheetPr>
  <dimension ref="A1:H21"/>
  <sheetViews>
    <sheetView showGridLines="0" workbookViewId="0">
      <pane xSplit="1" ySplit="3" topLeftCell="B4" activePane="bottomRight" state="frozen"/>
      <selection pane="topRight"/>
      <selection pane="bottomLeft"/>
      <selection pane="bottomRight"/>
    </sheetView>
  </sheetViews>
  <sheetFormatPr defaultRowHeight="15" x14ac:dyDescent="0.25"/>
  <cols>
    <col min="1" max="1" width="22" customWidth="1"/>
    <col min="2" max="2" width="34" customWidth="1"/>
    <col min="3" max="3" width="20" customWidth="1"/>
    <col min="4" max="4" width="11" customWidth="1"/>
    <col min="5" max="5" width="9" customWidth="1"/>
    <col min="6" max="6" width="38" customWidth="1"/>
    <col min="7" max="7" width="46" customWidth="1"/>
    <col min="8" max="8" width="20" customWidth="1"/>
  </cols>
  <sheetData>
    <row r="1" spans="1:8" ht="33.950000000000003" customHeight="1" x14ac:dyDescent="0.25">
      <c r="A1" s="59" t="s">
        <v>744</v>
      </c>
      <c r="B1" s="50"/>
      <c r="C1" s="50"/>
      <c r="D1" s="50"/>
      <c r="E1" s="50"/>
      <c r="F1" s="50"/>
      <c r="G1" s="50"/>
      <c r="H1" s="50"/>
    </row>
    <row r="2" spans="1:8" ht="30" customHeight="1" x14ac:dyDescent="0.25">
      <c r="A2" s="49" t="s">
        <v>745</v>
      </c>
      <c r="B2" s="50"/>
      <c r="C2" s="50"/>
      <c r="D2" s="50"/>
      <c r="E2" s="50"/>
      <c r="F2" s="50"/>
      <c r="G2" s="50"/>
      <c r="H2" s="50"/>
    </row>
    <row r="3" spans="1:8" ht="21.95" customHeight="1" x14ac:dyDescent="0.25">
      <c r="A3" s="4" t="s">
        <v>746</v>
      </c>
      <c r="B3" s="4" t="s">
        <v>747</v>
      </c>
      <c r="C3" s="4" t="s">
        <v>748</v>
      </c>
      <c r="D3" s="4" t="s">
        <v>725</v>
      </c>
      <c r="E3" s="4" t="s">
        <v>749</v>
      </c>
      <c r="F3" s="4" t="s">
        <v>750</v>
      </c>
      <c r="G3" s="4" t="s">
        <v>751</v>
      </c>
      <c r="H3" s="4" t="s">
        <v>752</v>
      </c>
    </row>
    <row r="4" spans="1:8" ht="33.950000000000003" customHeight="1" x14ac:dyDescent="0.25">
      <c r="A4" s="5" t="s">
        <v>753</v>
      </c>
      <c r="B4" s="6" t="s">
        <v>754</v>
      </c>
      <c r="C4" s="6" t="s">
        <v>755</v>
      </c>
      <c r="D4" s="27">
        <v>0.47399999999999998</v>
      </c>
      <c r="E4" s="28" t="s">
        <v>756</v>
      </c>
      <c r="F4" s="6" t="s">
        <v>757</v>
      </c>
      <c r="G4" s="6" t="s">
        <v>758</v>
      </c>
      <c r="H4" s="6" t="s">
        <v>759</v>
      </c>
    </row>
    <row r="5" spans="1:8" ht="33.950000000000003" customHeight="1" x14ac:dyDescent="0.25">
      <c r="A5" s="5" t="s">
        <v>760</v>
      </c>
      <c r="B5" s="6" t="s">
        <v>761</v>
      </c>
      <c r="C5" s="6" t="s">
        <v>762</v>
      </c>
      <c r="D5" s="27">
        <v>0.249</v>
      </c>
      <c r="E5" s="28" t="s">
        <v>763</v>
      </c>
      <c r="F5" s="6" t="s">
        <v>764</v>
      </c>
      <c r="G5" s="6" t="s">
        <v>765</v>
      </c>
      <c r="H5" s="6" t="s">
        <v>766</v>
      </c>
    </row>
    <row r="6" spans="1:8" ht="33.950000000000003" customHeight="1" x14ac:dyDescent="0.25">
      <c r="A6" s="5" t="s">
        <v>767</v>
      </c>
      <c r="B6" s="6" t="s">
        <v>768</v>
      </c>
      <c r="C6" s="6" t="s">
        <v>762</v>
      </c>
      <c r="D6" s="27">
        <v>0.249</v>
      </c>
      <c r="E6" s="28" t="s">
        <v>763</v>
      </c>
      <c r="F6" s="6" t="s">
        <v>769</v>
      </c>
      <c r="G6" s="6" t="s">
        <v>765</v>
      </c>
      <c r="H6" s="6" t="s">
        <v>766</v>
      </c>
    </row>
    <row r="7" spans="1:8" ht="33.950000000000003" customHeight="1" x14ac:dyDescent="0.25">
      <c r="A7" s="5" t="s">
        <v>770</v>
      </c>
      <c r="B7" s="6" t="s">
        <v>771</v>
      </c>
      <c r="C7" s="6" t="s">
        <v>772</v>
      </c>
      <c r="D7" s="27">
        <v>0.21</v>
      </c>
      <c r="E7" s="28" t="s">
        <v>763</v>
      </c>
      <c r="F7" s="6" t="s">
        <v>773</v>
      </c>
      <c r="G7" s="6" t="s">
        <v>765</v>
      </c>
      <c r="H7" s="6" t="s">
        <v>766</v>
      </c>
    </row>
    <row r="8" spans="1:8" ht="33.950000000000003" customHeight="1" x14ac:dyDescent="0.25">
      <c r="A8" s="5" t="s">
        <v>774</v>
      </c>
      <c r="B8" s="6" t="s">
        <v>775</v>
      </c>
      <c r="C8" s="6" t="s">
        <v>772</v>
      </c>
      <c r="D8" s="27">
        <v>0.21</v>
      </c>
      <c r="E8" s="29" t="s">
        <v>776</v>
      </c>
      <c r="F8" s="6" t="s">
        <v>777</v>
      </c>
      <c r="G8" s="6" t="s">
        <v>765</v>
      </c>
      <c r="H8" s="6" t="s">
        <v>766</v>
      </c>
    </row>
    <row r="9" spans="1:8" ht="33.950000000000003" customHeight="1" x14ac:dyDescent="0.25">
      <c r="A9" s="5" t="s">
        <v>778</v>
      </c>
      <c r="B9" s="6" t="s">
        <v>779</v>
      </c>
      <c r="C9" s="6" t="s">
        <v>366</v>
      </c>
      <c r="D9" s="27">
        <v>0.23100000000000001</v>
      </c>
      <c r="E9" s="29" t="s">
        <v>776</v>
      </c>
      <c r="F9" s="6" t="s">
        <v>780</v>
      </c>
      <c r="G9" s="6" t="s">
        <v>765</v>
      </c>
      <c r="H9" s="6" t="s">
        <v>766</v>
      </c>
    </row>
    <row r="10" spans="1:8" ht="33.950000000000003" customHeight="1" x14ac:dyDescent="0.25">
      <c r="A10" s="5" t="s">
        <v>781</v>
      </c>
      <c r="B10" s="6" t="s">
        <v>782</v>
      </c>
      <c r="C10" s="6" t="s">
        <v>366</v>
      </c>
      <c r="D10" s="27">
        <v>0.249</v>
      </c>
      <c r="E10" s="29" t="s">
        <v>783</v>
      </c>
      <c r="F10" s="6" t="s">
        <v>777</v>
      </c>
      <c r="G10" s="6" t="s">
        <v>765</v>
      </c>
      <c r="H10" s="6" t="s">
        <v>766</v>
      </c>
    </row>
    <row r="11" spans="1:8" ht="33.950000000000003" customHeight="1" x14ac:dyDescent="0.25">
      <c r="A11" s="5" t="s">
        <v>784</v>
      </c>
      <c r="B11" s="6" t="s">
        <v>785</v>
      </c>
      <c r="C11" s="6" t="s">
        <v>786</v>
      </c>
      <c r="D11" s="27">
        <v>0.26700000000000002</v>
      </c>
      <c r="E11" s="29" t="s">
        <v>783</v>
      </c>
      <c r="F11" s="6" t="s">
        <v>777</v>
      </c>
      <c r="G11" s="6" t="s">
        <v>765</v>
      </c>
      <c r="H11" s="6" t="s">
        <v>766</v>
      </c>
    </row>
    <row r="12" spans="1:8" ht="33.950000000000003" customHeight="1" x14ac:dyDescent="0.25">
      <c r="A12" s="5" t="s">
        <v>787</v>
      </c>
      <c r="B12" s="6" t="s">
        <v>788</v>
      </c>
      <c r="C12" s="6" t="s">
        <v>789</v>
      </c>
      <c r="D12" s="27">
        <v>0.39</v>
      </c>
      <c r="E12" s="29" t="s">
        <v>783</v>
      </c>
      <c r="F12" s="6" t="s">
        <v>790</v>
      </c>
      <c r="G12" s="6" t="s">
        <v>791</v>
      </c>
      <c r="H12" s="6" t="s">
        <v>766</v>
      </c>
    </row>
    <row r="13" spans="1:8" ht="18.95" customHeight="1" x14ac:dyDescent="0.25">
      <c r="A13" s="5" t="s">
        <v>792</v>
      </c>
      <c r="B13" s="6" t="s">
        <v>788</v>
      </c>
      <c r="C13" s="6" t="s">
        <v>793</v>
      </c>
      <c r="D13" s="27">
        <v>0.42299999999999999</v>
      </c>
      <c r="E13" s="29" t="s">
        <v>783</v>
      </c>
      <c r="F13" s="6" t="s">
        <v>790</v>
      </c>
      <c r="G13" s="6" t="s">
        <v>794</v>
      </c>
      <c r="H13" s="6" t="s">
        <v>766</v>
      </c>
    </row>
    <row r="14" spans="1:8" ht="33.950000000000003" customHeight="1" x14ac:dyDescent="0.25">
      <c r="A14" s="5" t="s">
        <v>447</v>
      </c>
      <c r="B14" s="6" t="s">
        <v>795</v>
      </c>
      <c r="C14" s="6" t="s">
        <v>450</v>
      </c>
      <c r="D14" s="27" t="s">
        <v>28</v>
      </c>
      <c r="E14" s="28" t="s">
        <v>763</v>
      </c>
      <c r="F14" s="6" t="s">
        <v>28</v>
      </c>
      <c r="G14" s="6" t="s">
        <v>796</v>
      </c>
      <c r="H14" s="6" t="s">
        <v>797</v>
      </c>
    </row>
    <row r="16" spans="1:8" ht="21.95" customHeight="1" x14ac:dyDescent="0.25">
      <c r="A16" s="54" t="s">
        <v>798</v>
      </c>
      <c r="B16" s="55"/>
      <c r="C16" s="55"/>
      <c r="D16" s="55"/>
      <c r="E16" s="55"/>
      <c r="F16" s="55"/>
      <c r="G16" s="55"/>
      <c r="H16" s="55"/>
    </row>
    <row r="17" spans="1:8" x14ac:dyDescent="0.25">
      <c r="A17" s="30" t="s">
        <v>799</v>
      </c>
      <c r="B17" s="42" t="s">
        <v>800</v>
      </c>
      <c r="C17" s="42"/>
      <c r="D17" s="42"/>
      <c r="E17" s="42"/>
      <c r="F17" s="42"/>
      <c r="G17" s="42"/>
      <c r="H17" s="42"/>
    </row>
    <row r="18" spans="1:8" x14ac:dyDescent="0.25">
      <c r="A18" s="30" t="s">
        <v>801</v>
      </c>
      <c r="B18" s="42" t="s">
        <v>802</v>
      </c>
      <c r="C18" s="42"/>
      <c r="D18" s="42"/>
      <c r="E18" s="42"/>
      <c r="F18" s="42"/>
      <c r="G18" s="42"/>
      <c r="H18" s="42"/>
    </row>
    <row r="19" spans="1:8" x14ac:dyDescent="0.25">
      <c r="A19" s="30" t="s">
        <v>803</v>
      </c>
      <c r="B19" s="42" t="s">
        <v>804</v>
      </c>
      <c r="C19" s="42"/>
      <c r="D19" s="42"/>
      <c r="E19" s="42"/>
      <c r="F19" s="42"/>
      <c r="G19" s="42"/>
      <c r="H19" s="42"/>
    </row>
    <row r="20" spans="1:8" x14ac:dyDescent="0.25">
      <c r="A20" s="30" t="s">
        <v>805</v>
      </c>
      <c r="B20" s="42" t="s">
        <v>806</v>
      </c>
      <c r="C20" s="42"/>
      <c r="D20" s="42"/>
      <c r="E20" s="42"/>
      <c r="F20" s="42"/>
      <c r="G20" s="42"/>
      <c r="H20" s="42"/>
    </row>
    <row r="21" spans="1:8" x14ac:dyDescent="0.25">
      <c r="A21" s="30" t="s">
        <v>807</v>
      </c>
      <c r="B21" s="42" t="s">
        <v>808</v>
      </c>
      <c r="C21" s="42"/>
      <c r="D21" s="42"/>
      <c r="E21" s="42"/>
      <c r="F21" s="42"/>
      <c r="G21" s="42"/>
      <c r="H21" s="42"/>
    </row>
  </sheetData>
  <mergeCells count="8">
    <mergeCell ref="A1:H1"/>
    <mergeCell ref="B19:H19"/>
    <mergeCell ref="B20:H20"/>
    <mergeCell ref="B17:H17"/>
    <mergeCell ref="B18:H18"/>
    <mergeCell ref="B21:H21"/>
    <mergeCell ref="A16:H16"/>
    <mergeCell ref="A2:H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3E9E86"/>
  </sheetPr>
  <dimension ref="A1:F26"/>
  <sheetViews>
    <sheetView showGridLines="0" workbookViewId="0"/>
  </sheetViews>
  <sheetFormatPr defaultRowHeight="15" x14ac:dyDescent="0.25"/>
  <cols>
    <col min="1" max="1" width="8" customWidth="1"/>
    <col min="2" max="3" width="26" customWidth="1"/>
    <col min="4" max="4" width="50" customWidth="1"/>
    <col min="5" max="5" width="44" customWidth="1"/>
    <col min="6" max="6" width="14" customWidth="1"/>
  </cols>
  <sheetData>
    <row r="1" spans="1:6" ht="33.950000000000003" customHeight="1" x14ac:dyDescent="0.25">
      <c r="A1" s="59" t="s">
        <v>809</v>
      </c>
      <c r="B1" s="50"/>
      <c r="C1" s="50"/>
      <c r="D1" s="50"/>
      <c r="E1" s="50"/>
      <c r="F1" s="50"/>
    </row>
    <row r="2" spans="1:6" ht="30" customHeight="1" x14ac:dyDescent="0.25">
      <c r="A2" s="49" t="s">
        <v>810</v>
      </c>
      <c r="B2" s="50"/>
      <c r="C2" s="50"/>
      <c r="D2" s="50"/>
      <c r="E2" s="50"/>
      <c r="F2" s="50"/>
    </row>
    <row r="3" spans="1:6" ht="21.95" customHeight="1" x14ac:dyDescent="0.25">
      <c r="A3" s="4" t="s">
        <v>677</v>
      </c>
      <c r="B3" s="4" t="s">
        <v>811</v>
      </c>
      <c r="C3" s="4" t="s">
        <v>812</v>
      </c>
      <c r="D3" s="4" t="s">
        <v>813</v>
      </c>
      <c r="E3" s="4" t="s">
        <v>814</v>
      </c>
      <c r="F3" s="4"/>
    </row>
    <row r="4" spans="1:6" ht="60" customHeight="1" x14ac:dyDescent="0.25">
      <c r="A4" s="7">
        <v>1</v>
      </c>
      <c r="B4" s="31" t="s">
        <v>329</v>
      </c>
      <c r="C4" s="6" t="s">
        <v>815</v>
      </c>
      <c r="D4" s="6" t="s">
        <v>816</v>
      </c>
      <c r="E4" s="6" t="s">
        <v>817</v>
      </c>
      <c r="F4" s="6"/>
    </row>
    <row r="5" spans="1:6" ht="60" customHeight="1" x14ac:dyDescent="0.25">
      <c r="A5" s="7">
        <v>2</v>
      </c>
      <c r="B5" s="31" t="s">
        <v>818</v>
      </c>
      <c r="C5" s="6" t="s">
        <v>819</v>
      </c>
      <c r="D5" s="6" t="s">
        <v>820</v>
      </c>
      <c r="E5" s="6" t="s">
        <v>821</v>
      </c>
      <c r="F5" s="6"/>
    </row>
    <row r="6" spans="1:6" ht="60" customHeight="1" x14ac:dyDescent="0.25">
      <c r="A6" s="7">
        <v>3</v>
      </c>
      <c r="B6" s="31" t="s">
        <v>822</v>
      </c>
      <c r="C6" s="6" t="s">
        <v>823</v>
      </c>
      <c r="D6" s="6" t="s">
        <v>824</v>
      </c>
      <c r="E6" s="6" t="s">
        <v>825</v>
      </c>
      <c r="F6" s="6"/>
    </row>
    <row r="7" spans="1:6" ht="60" customHeight="1" x14ac:dyDescent="0.25">
      <c r="A7" s="7">
        <v>4</v>
      </c>
      <c r="B7" s="31" t="s">
        <v>826</v>
      </c>
      <c r="C7" s="6" t="s">
        <v>827</v>
      </c>
      <c r="D7" s="6" t="s">
        <v>828</v>
      </c>
      <c r="E7" s="6" t="s">
        <v>829</v>
      </c>
      <c r="F7" s="6"/>
    </row>
    <row r="9" spans="1:6" ht="21.95" customHeight="1" x14ac:dyDescent="0.25">
      <c r="A9" s="54" t="s">
        <v>830</v>
      </c>
      <c r="B9" s="55"/>
      <c r="C9" s="55"/>
      <c r="D9" s="55"/>
      <c r="E9" s="55"/>
      <c r="F9" s="55"/>
    </row>
    <row r="10" spans="1:6" ht="21.95" customHeight="1" x14ac:dyDescent="0.25">
      <c r="A10" s="4"/>
      <c r="B10" s="4" t="s">
        <v>811</v>
      </c>
      <c r="C10" s="4" t="s">
        <v>91</v>
      </c>
      <c r="D10" s="4" t="s">
        <v>813</v>
      </c>
      <c r="E10" s="4" t="s">
        <v>814</v>
      </c>
      <c r="F10" s="4" t="s">
        <v>812</v>
      </c>
    </row>
    <row r="11" spans="1:6" ht="44.1" customHeight="1" x14ac:dyDescent="0.25">
      <c r="A11" s="6"/>
      <c r="B11" s="5" t="s">
        <v>831</v>
      </c>
      <c r="C11" s="6" t="s">
        <v>832</v>
      </c>
      <c r="D11" s="6" t="s">
        <v>833</v>
      </c>
      <c r="E11" s="6" t="s">
        <v>834</v>
      </c>
      <c r="F11" s="6" t="s">
        <v>835</v>
      </c>
    </row>
    <row r="12" spans="1:6" ht="44.1" customHeight="1" x14ac:dyDescent="0.25">
      <c r="A12" s="6"/>
      <c r="B12" s="5" t="s">
        <v>836</v>
      </c>
      <c r="C12" s="6" t="s">
        <v>832</v>
      </c>
      <c r="D12" s="6" t="s">
        <v>837</v>
      </c>
      <c r="E12" s="6" t="s">
        <v>838</v>
      </c>
      <c r="F12" s="6" t="s">
        <v>839</v>
      </c>
    </row>
    <row r="13" spans="1:6" ht="44.1" customHeight="1" x14ac:dyDescent="0.25">
      <c r="A13" s="6"/>
      <c r="B13" s="5" t="s">
        <v>840</v>
      </c>
      <c r="C13" s="6" t="s">
        <v>841</v>
      </c>
      <c r="D13" s="6" t="s">
        <v>842</v>
      </c>
      <c r="E13" s="6" t="s">
        <v>843</v>
      </c>
      <c r="F13" s="6" t="s">
        <v>44</v>
      </c>
    </row>
    <row r="14" spans="1:6" ht="44.1" customHeight="1" x14ac:dyDescent="0.25">
      <c r="A14" s="6"/>
      <c r="B14" s="5" t="s">
        <v>844</v>
      </c>
      <c r="C14" s="6" t="s">
        <v>841</v>
      </c>
      <c r="D14" s="6" t="s">
        <v>845</v>
      </c>
      <c r="E14" s="6" t="s">
        <v>846</v>
      </c>
      <c r="F14" s="6" t="s">
        <v>836</v>
      </c>
    </row>
    <row r="15" spans="1:6" ht="44.1" customHeight="1" x14ac:dyDescent="0.25">
      <c r="A15" s="6"/>
      <c r="B15" s="5" t="s">
        <v>847</v>
      </c>
      <c r="C15" s="6" t="s">
        <v>832</v>
      </c>
      <c r="D15" s="6" t="s">
        <v>848</v>
      </c>
      <c r="E15" s="6" t="s">
        <v>849</v>
      </c>
      <c r="F15" s="6" t="s">
        <v>850</v>
      </c>
    </row>
    <row r="17" spans="1:6" ht="21.95" customHeight="1" x14ac:dyDescent="0.25">
      <c r="A17" s="54" t="s">
        <v>851</v>
      </c>
      <c r="B17" s="55"/>
      <c r="C17" s="55"/>
      <c r="D17" s="55"/>
      <c r="E17" s="55"/>
      <c r="F17" s="55"/>
    </row>
    <row r="18" spans="1:6" ht="21.95" customHeight="1" x14ac:dyDescent="0.25">
      <c r="A18" s="4" t="s">
        <v>113</v>
      </c>
      <c r="B18" s="4" t="s">
        <v>852</v>
      </c>
      <c r="C18" s="4" t="s">
        <v>853</v>
      </c>
      <c r="D18" s="4" t="s">
        <v>854</v>
      </c>
      <c r="E18" s="4" t="s">
        <v>855</v>
      </c>
      <c r="F18" s="4" t="s">
        <v>856</v>
      </c>
    </row>
    <row r="19" spans="1:6" ht="36" customHeight="1" x14ac:dyDescent="0.25">
      <c r="A19" s="6" t="s">
        <v>857</v>
      </c>
      <c r="B19" s="6" t="s">
        <v>858</v>
      </c>
      <c r="C19" s="6" t="s">
        <v>307</v>
      </c>
      <c r="D19" s="6" t="s">
        <v>859</v>
      </c>
      <c r="E19" s="6" t="s">
        <v>28</v>
      </c>
      <c r="F19" s="6" t="s">
        <v>860</v>
      </c>
    </row>
    <row r="20" spans="1:6" ht="36" customHeight="1" x14ac:dyDescent="0.25">
      <c r="A20" s="6" t="s">
        <v>38</v>
      </c>
      <c r="B20" s="6" t="s">
        <v>861</v>
      </c>
      <c r="C20" s="6" t="s">
        <v>862</v>
      </c>
      <c r="D20" s="6" t="s">
        <v>863</v>
      </c>
      <c r="E20" s="6" t="s">
        <v>831</v>
      </c>
      <c r="F20" s="6" t="s">
        <v>864</v>
      </c>
    </row>
    <row r="21" spans="1:6" ht="36" customHeight="1" x14ac:dyDescent="0.25">
      <c r="A21" s="6" t="s">
        <v>865</v>
      </c>
      <c r="B21" s="6" t="s">
        <v>866</v>
      </c>
      <c r="C21" s="6" t="s">
        <v>867</v>
      </c>
      <c r="D21" s="6" t="s">
        <v>868</v>
      </c>
      <c r="E21" s="6" t="s">
        <v>840</v>
      </c>
      <c r="F21" s="6" t="s">
        <v>869</v>
      </c>
    </row>
    <row r="22" spans="1:6" ht="36" customHeight="1" x14ac:dyDescent="0.25">
      <c r="A22" s="6" t="s">
        <v>56</v>
      </c>
      <c r="B22" s="6" t="s">
        <v>870</v>
      </c>
      <c r="C22" s="6" t="s">
        <v>871</v>
      </c>
      <c r="D22" s="6" t="s">
        <v>872</v>
      </c>
      <c r="E22" s="6" t="s">
        <v>873</v>
      </c>
      <c r="F22" s="6" t="s">
        <v>874</v>
      </c>
    </row>
    <row r="23" spans="1:6" ht="36" customHeight="1" x14ac:dyDescent="0.25">
      <c r="A23" s="6" t="s">
        <v>62</v>
      </c>
      <c r="B23" s="6" t="s">
        <v>875</v>
      </c>
      <c r="C23" s="6" t="s">
        <v>876</v>
      </c>
      <c r="D23" s="6" t="s">
        <v>877</v>
      </c>
      <c r="E23" s="6" t="s">
        <v>448</v>
      </c>
      <c r="F23" s="6" t="s">
        <v>878</v>
      </c>
    </row>
    <row r="24" spans="1:6" ht="36" customHeight="1" x14ac:dyDescent="0.25">
      <c r="A24" s="6" t="s">
        <v>879</v>
      </c>
      <c r="B24" s="6" t="s">
        <v>880</v>
      </c>
      <c r="C24" s="6" t="s">
        <v>70</v>
      </c>
      <c r="D24" s="6" t="s">
        <v>881</v>
      </c>
      <c r="E24" s="6" t="s">
        <v>826</v>
      </c>
      <c r="F24" s="6" t="s">
        <v>882</v>
      </c>
    </row>
    <row r="26" spans="1:6" x14ac:dyDescent="0.25">
      <c r="A26" s="63" t="s">
        <v>883</v>
      </c>
      <c r="B26" s="42"/>
      <c r="C26" s="42"/>
      <c r="D26" s="42"/>
      <c r="E26" s="42"/>
      <c r="F26" s="42"/>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98E2B"/>
  </sheetPr>
  <dimension ref="A1:F32"/>
  <sheetViews>
    <sheetView showGridLines="0" workbookViewId="0">
      <pane ySplit="3" topLeftCell="A4" activePane="bottomLeft" state="frozen"/>
      <selection pane="bottomLeft"/>
    </sheetView>
  </sheetViews>
  <sheetFormatPr defaultRowHeight="15" x14ac:dyDescent="0.25"/>
  <cols>
    <col min="1" max="1" width="12" customWidth="1"/>
    <col min="2" max="2" width="22" customWidth="1"/>
    <col min="3" max="3" width="30" customWidth="1"/>
    <col min="4" max="4" width="40" customWidth="1"/>
    <col min="5" max="6" width="12" customWidth="1"/>
  </cols>
  <sheetData>
    <row r="1" spans="1:6" ht="33.950000000000003" customHeight="1" x14ac:dyDescent="0.25">
      <c r="A1" s="59" t="s">
        <v>884</v>
      </c>
      <c r="B1" s="50"/>
      <c r="C1" s="50"/>
      <c r="D1" s="50"/>
      <c r="E1" s="50"/>
      <c r="F1" s="50"/>
    </row>
    <row r="2" spans="1:6" ht="30" customHeight="1" x14ac:dyDescent="0.25">
      <c r="A2" s="49" t="s">
        <v>885</v>
      </c>
      <c r="B2" s="50"/>
      <c r="C2" s="50"/>
      <c r="D2" s="50"/>
      <c r="E2" s="50"/>
      <c r="F2" s="50"/>
    </row>
    <row r="3" spans="1:6" ht="21.95" customHeight="1" x14ac:dyDescent="0.25">
      <c r="A3" s="4" t="s">
        <v>886</v>
      </c>
      <c r="B3" s="4" t="s">
        <v>887</v>
      </c>
      <c r="C3" s="4" t="s">
        <v>888</v>
      </c>
      <c r="D3" s="4" t="s">
        <v>889</v>
      </c>
      <c r="E3" s="4" t="s">
        <v>890</v>
      </c>
      <c r="F3" s="4" t="s">
        <v>88</v>
      </c>
    </row>
    <row r="4" spans="1:6" x14ac:dyDescent="0.25">
      <c r="A4" s="6" t="s">
        <v>23</v>
      </c>
      <c r="B4" s="6" t="s">
        <v>891</v>
      </c>
      <c r="C4" s="6" t="s">
        <v>892</v>
      </c>
      <c r="D4" s="6" t="s">
        <v>893</v>
      </c>
      <c r="E4" s="7" t="s">
        <v>894</v>
      </c>
      <c r="F4" s="7" t="s">
        <v>94</v>
      </c>
    </row>
    <row r="5" spans="1:6" x14ac:dyDescent="0.25">
      <c r="A5" s="10" t="s">
        <v>23</v>
      </c>
      <c r="B5" s="10" t="s">
        <v>895</v>
      </c>
      <c r="C5" s="10" t="s">
        <v>896</v>
      </c>
      <c r="D5" s="10" t="s">
        <v>897</v>
      </c>
      <c r="E5" s="9" t="s">
        <v>894</v>
      </c>
      <c r="F5" s="9" t="s">
        <v>94</v>
      </c>
    </row>
    <row r="6" spans="1:6" x14ac:dyDescent="0.25">
      <c r="A6" s="6" t="s">
        <v>23</v>
      </c>
      <c r="B6" s="6" t="s">
        <v>898</v>
      </c>
      <c r="C6" s="6" t="s">
        <v>899</v>
      </c>
      <c r="D6" s="6" t="s">
        <v>900</v>
      </c>
      <c r="E6" s="7" t="s">
        <v>901</v>
      </c>
      <c r="F6" s="7" t="s">
        <v>94</v>
      </c>
    </row>
    <row r="7" spans="1:6" x14ac:dyDescent="0.25">
      <c r="A7" s="10" t="s">
        <v>23</v>
      </c>
      <c r="B7" s="10" t="s">
        <v>902</v>
      </c>
      <c r="C7" s="10" t="s">
        <v>903</v>
      </c>
      <c r="D7" s="10" t="s">
        <v>897</v>
      </c>
      <c r="E7" s="9" t="s">
        <v>894</v>
      </c>
      <c r="F7" s="9" t="s">
        <v>94</v>
      </c>
    </row>
    <row r="8" spans="1:6" x14ac:dyDescent="0.25">
      <c r="A8" s="6" t="s">
        <v>23</v>
      </c>
      <c r="B8" s="6" t="s">
        <v>904</v>
      </c>
      <c r="C8" s="6" t="s">
        <v>905</v>
      </c>
      <c r="D8" s="6" t="s">
        <v>906</v>
      </c>
      <c r="E8" s="7" t="s">
        <v>894</v>
      </c>
      <c r="F8" s="7" t="s">
        <v>94</v>
      </c>
    </row>
    <row r="9" spans="1:6" x14ac:dyDescent="0.25">
      <c r="A9" s="10" t="s">
        <v>30</v>
      </c>
      <c r="B9" s="10" t="s">
        <v>907</v>
      </c>
      <c r="C9" s="10" t="s">
        <v>908</v>
      </c>
      <c r="D9" s="10" t="s">
        <v>897</v>
      </c>
      <c r="E9" s="9" t="s">
        <v>894</v>
      </c>
      <c r="F9" s="9" t="s">
        <v>94</v>
      </c>
    </row>
    <row r="10" spans="1:6" x14ac:dyDescent="0.25">
      <c r="A10" s="6" t="s">
        <v>30</v>
      </c>
      <c r="B10" s="6" t="s">
        <v>909</v>
      </c>
      <c r="C10" s="6" t="s">
        <v>910</v>
      </c>
      <c r="D10" s="6" t="s">
        <v>911</v>
      </c>
      <c r="E10" s="7" t="s">
        <v>894</v>
      </c>
      <c r="F10" s="7" t="s">
        <v>94</v>
      </c>
    </row>
    <row r="11" spans="1:6" x14ac:dyDescent="0.25">
      <c r="A11" s="10" t="s">
        <v>30</v>
      </c>
      <c r="B11" s="10" t="s">
        <v>912</v>
      </c>
      <c r="C11" s="10" t="s">
        <v>913</v>
      </c>
      <c r="D11" s="10" t="s">
        <v>897</v>
      </c>
      <c r="E11" s="9" t="s">
        <v>894</v>
      </c>
      <c r="F11" s="9" t="s">
        <v>94</v>
      </c>
    </row>
    <row r="12" spans="1:6" x14ac:dyDescent="0.25">
      <c r="A12" s="6" t="s">
        <v>30</v>
      </c>
      <c r="B12" s="6" t="s">
        <v>914</v>
      </c>
      <c r="C12" s="6" t="s">
        <v>915</v>
      </c>
      <c r="D12" s="6" t="s">
        <v>916</v>
      </c>
      <c r="E12" s="7" t="s">
        <v>894</v>
      </c>
      <c r="F12" s="7" t="s">
        <v>94</v>
      </c>
    </row>
    <row r="13" spans="1:6" x14ac:dyDescent="0.25">
      <c r="A13" s="10" t="s">
        <v>37</v>
      </c>
      <c r="B13" s="10" t="s">
        <v>917</v>
      </c>
      <c r="C13" s="10" t="s">
        <v>727</v>
      </c>
      <c r="D13" s="10" t="s">
        <v>918</v>
      </c>
      <c r="E13" s="9" t="s">
        <v>901</v>
      </c>
      <c r="F13" s="9" t="s">
        <v>94</v>
      </c>
    </row>
    <row r="14" spans="1:6" x14ac:dyDescent="0.25">
      <c r="A14" s="6" t="s">
        <v>37</v>
      </c>
      <c r="B14" s="6" t="s">
        <v>919</v>
      </c>
      <c r="C14" s="6" t="s">
        <v>920</v>
      </c>
      <c r="D14" s="6" t="s">
        <v>921</v>
      </c>
      <c r="E14" s="7" t="s">
        <v>922</v>
      </c>
      <c r="F14" s="7" t="s">
        <v>94</v>
      </c>
    </row>
    <row r="15" spans="1:6" x14ac:dyDescent="0.25">
      <c r="A15" s="10" t="s">
        <v>37</v>
      </c>
      <c r="B15" s="10" t="s">
        <v>923</v>
      </c>
      <c r="C15" s="10" t="s">
        <v>924</v>
      </c>
      <c r="D15" s="10" t="s">
        <v>925</v>
      </c>
      <c r="E15" s="9" t="s">
        <v>894</v>
      </c>
      <c r="F15" s="9" t="s">
        <v>94</v>
      </c>
    </row>
    <row r="16" spans="1:6" x14ac:dyDescent="0.25">
      <c r="A16" s="6" t="s">
        <v>37</v>
      </c>
      <c r="B16" s="6" t="s">
        <v>926</v>
      </c>
      <c r="C16" s="6" t="s">
        <v>927</v>
      </c>
      <c r="D16" s="6" t="s">
        <v>900</v>
      </c>
      <c r="E16" s="7" t="s">
        <v>901</v>
      </c>
      <c r="F16" s="7" t="s">
        <v>94</v>
      </c>
    </row>
    <row r="17" spans="1:6" x14ac:dyDescent="0.25">
      <c r="A17" s="10" t="s">
        <v>37</v>
      </c>
      <c r="B17" s="10" t="s">
        <v>928</v>
      </c>
      <c r="C17" s="10" t="s">
        <v>929</v>
      </c>
      <c r="D17" s="10" t="s">
        <v>930</v>
      </c>
      <c r="E17" s="9" t="s">
        <v>922</v>
      </c>
      <c r="F17" s="9" t="s">
        <v>94</v>
      </c>
    </row>
    <row r="18" spans="1:6" x14ac:dyDescent="0.25">
      <c r="A18" s="6" t="s">
        <v>37</v>
      </c>
      <c r="B18" s="6" t="s">
        <v>931</v>
      </c>
      <c r="C18" s="6" t="s">
        <v>932</v>
      </c>
      <c r="D18" s="6" t="s">
        <v>897</v>
      </c>
      <c r="E18" s="7" t="s">
        <v>894</v>
      </c>
      <c r="F18" s="7" t="s">
        <v>94</v>
      </c>
    </row>
    <row r="19" spans="1:6" x14ac:dyDescent="0.25">
      <c r="A19" s="10" t="s">
        <v>44</v>
      </c>
      <c r="B19" s="10" t="s">
        <v>933</v>
      </c>
      <c r="C19" s="10" t="s">
        <v>934</v>
      </c>
      <c r="D19" s="10" t="s">
        <v>935</v>
      </c>
      <c r="E19" s="9" t="s">
        <v>894</v>
      </c>
      <c r="F19" s="9" t="s">
        <v>94</v>
      </c>
    </row>
    <row r="20" spans="1:6" x14ac:dyDescent="0.25">
      <c r="A20" s="6" t="s">
        <v>44</v>
      </c>
      <c r="B20" s="6" t="s">
        <v>936</v>
      </c>
      <c r="C20" s="6" t="s">
        <v>937</v>
      </c>
      <c r="D20" s="6" t="s">
        <v>938</v>
      </c>
      <c r="E20" s="7" t="s">
        <v>922</v>
      </c>
      <c r="F20" s="7" t="s">
        <v>94</v>
      </c>
    </row>
    <row r="21" spans="1:6" x14ac:dyDescent="0.25">
      <c r="A21" s="10" t="s">
        <v>44</v>
      </c>
      <c r="B21" s="10" t="s">
        <v>939</v>
      </c>
      <c r="C21" s="10" t="s">
        <v>940</v>
      </c>
      <c r="D21" s="10" t="s">
        <v>897</v>
      </c>
      <c r="E21" s="9" t="s">
        <v>894</v>
      </c>
      <c r="F21" s="9" t="s">
        <v>94</v>
      </c>
    </row>
    <row r="22" spans="1:6" x14ac:dyDescent="0.25">
      <c r="A22" s="6" t="s">
        <v>44</v>
      </c>
      <c r="B22" s="6" t="s">
        <v>939</v>
      </c>
      <c r="C22" s="6" t="s">
        <v>941</v>
      </c>
      <c r="D22" s="6" t="s">
        <v>942</v>
      </c>
      <c r="E22" s="7" t="s">
        <v>894</v>
      </c>
      <c r="F22" s="7" t="s">
        <v>94</v>
      </c>
    </row>
    <row r="23" spans="1:6" x14ac:dyDescent="0.25">
      <c r="A23" s="10" t="s">
        <v>44</v>
      </c>
      <c r="B23" s="10" t="s">
        <v>943</v>
      </c>
      <c r="C23" s="10" t="s">
        <v>944</v>
      </c>
      <c r="D23" s="10" t="s">
        <v>945</v>
      </c>
      <c r="E23" s="9" t="s">
        <v>922</v>
      </c>
      <c r="F23" s="9" t="s">
        <v>94</v>
      </c>
    </row>
    <row r="24" spans="1:6" x14ac:dyDescent="0.25">
      <c r="A24" s="6" t="s">
        <v>44</v>
      </c>
      <c r="B24" s="6" t="s">
        <v>939</v>
      </c>
      <c r="C24" s="6" t="s">
        <v>946</v>
      </c>
      <c r="D24" s="6" t="s">
        <v>947</v>
      </c>
      <c r="E24" s="7" t="s">
        <v>894</v>
      </c>
      <c r="F24" s="7" t="s">
        <v>94</v>
      </c>
    </row>
    <row r="25" spans="1:6" x14ac:dyDescent="0.25">
      <c r="A25" s="10" t="s">
        <v>44</v>
      </c>
      <c r="B25" s="10" t="s">
        <v>939</v>
      </c>
      <c r="C25" s="10" t="s">
        <v>948</v>
      </c>
      <c r="D25" s="10" t="s">
        <v>949</v>
      </c>
      <c r="E25" s="9" t="s">
        <v>894</v>
      </c>
      <c r="F25" s="9" t="s">
        <v>94</v>
      </c>
    </row>
    <row r="26" spans="1:6" ht="25.5" x14ac:dyDescent="0.25">
      <c r="A26" s="6" t="s">
        <v>44</v>
      </c>
      <c r="B26" s="6" t="s">
        <v>939</v>
      </c>
      <c r="C26" s="6" t="s">
        <v>950</v>
      </c>
      <c r="D26" s="6" t="s">
        <v>951</v>
      </c>
      <c r="E26" s="7" t="s">
        <v>901</v>
      </c>
      <c r="F26" s="7" t="s">
        <v>94</v>
      </c>
    </row>
    <row r="27" spans="1:6" x14ac:dyDescent="0.25">
      <c r="A27" s="10" t="s">
        <v>952</v>
      </c>
      <c r="B27" s="10" t="s">
        <v>953</v>
      </c>
      <c r="C27" s="10" t="s">
        <v>954</v>
      </c>
      <c r="D27" s="10" t="s">
        <v>897</v>
      </c>
      <c r="E27" s="9" t="s">
        <v>894</v>
      </c>
      <c r="F27" s="9" t="s">
        <v>94</v>
      </c>
    </row>
    <row r="28" spans="1:6" x14ac:dyDescent="0.25">
      <c r="A28" s="6" t="s">
        <v>952</v>
      </c>
      <c r="B28" s="6" t="s">
        <v>955</v>
      </c>
      <c r="C28" s="6" t="s">
        <v>956</v>
      </c>
      <c r="D28" s="6" t="s">
        <v>897</v>
      </c>
      <c r="E28" s="7" t="s">
        <v>894</v>
      </c>
      <c r="F28" s="7" t="s">
        <v>94</v>
      </c>
    </row>
    <row r="29" spans="1:6" x14ac:dyDescent="0.25">
      <c r="A29" s="10" t="s">
        <v>952</v>
      </c>
      <c r="B29" s="10" t="s">
        <v>955</v>
      </c>
      <c r="C29" s="10" t="s">
        <v>957</v>
      </c>
      <c r="D29" s="10" t="s">
        <v>958</v>
      </c>
      <c r="E29" s="9" t="s">
        <v>901</v>
      </c>
      <c r="F29" s="9" t="s">
        <v>94</v>
      </c>
    </row>
    <row r="30" spans="1:6" x14ac:dyDescent="0.25">
      <c r="A30" s="6" t="s">
        <v>952</v>
      </c>
      <c r="B30" s="6" t="s">
        <v>959</v>
      </c>
      <c r="C30" s="6" t="s">
        <v>960</v>
      </c>
      <c r="D30" s="6" t="s">
        <v>961</v>
      </c>
      <c r="E30" s="7" t="s">
        <v>901</v>
      </c>
      <c r="F30" s="7" t="s">
        <v>94</v>
      </c>
    </row>
    <row r="31" spans="1:6" x14ac:dyDescent="0.25">
      <c r="A31" s="10" t="s">
        <v>952</v>
      </c>
      <c r="B31" s="10" t="s">
        <v>962</v>
      </c>
      <c r="C31" s="10" t="s">
        <v>963</v>
      </c>
      <c r="D31" s="10" t="s">
        <v>964</v>
      </c>
      <c r="E31" s="9" t="s">
        <v>901</v>
      </c>
      <c r="F31" s="9" t="s">
        <v>94</v>
      </c>
    </row>
    <row r="32" spans="1:6" x14ac:dyDescent="0.25">
      <c r="A32" s="6" t="s">
        <v>952</v>
      </c>
      <c r="B32" s="6" t="s">
        <v>965</v>
      </c>
      <c r="C32" s="6" t="s">
        <v>966</v>
      </c>
      <c r="D32" s="6" t="s">
        <v>897</v>
      </c>
      <c r="E32" s="7" t="s">
        <v>894</v>
      </c>
      <c r="F32" s="7" t="s">
        <v>94</v>
      </c>
    </row>
  </sheetData>
  <autoFilter ref="A3:F32" xr:uid="{00000000-0009-0000-0000-000009000000}"/>
  <mergeCells count="2">
    <mergeCell ref="A2:F2"/>
    <mergeCell ref="A1:F1"/>
  </mergeCells>
  <conditionalFormatting sqref="A4:D32">
    <cfRule type="expression" dxfId="8" priority="3">
      <formula>$F4="Feito"</formula>
    </cfRule>
  </conditionalFormatting>
  <conditionalFormatting sqref="E4:E32">
    <cfRule type="cellIs" dxfId="7" priority="1" operator="equal">
      <formula>"CRÍTICA"</formula>
    </cfRule>
  </conditionalFormatting>
  <conditionalFormatting sqref="F4:F32">
    <cfRule type="cellIs" dxfId="6" priority="2" operator="equal">
      <formula>"Feito"</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B84A3A"/>
  </sheetPr>
  <dimension ref="A1:D39"/>
  <sheetViews>
    <sheetView showGridLines="0" workbookViewId="0">
      <pane ySplit="3" topLeftCell="A4" activePane="bottomLeft" state="frozen"/>
      <selection pane="bottomLeft"/>
    </sheetView>
  </sheetViews>
  <sheetFormatPr defaultRowHeight="15" x14ac:dyDescent="0.25"/>
  <cols>
    <col min="1" max="1" width="14" customWidth="1"/>
    <col min="2" max="2" width="11" customWidth="1"/>
    <col min="3" max="3" width="32" customWidth="1"/>
    <col min="4" max="4" width="90" customWidth="1"/>
  </cols>
  <sheetData>
    <row r="1" spans="1:4" ht="33.950000000000003" customHeight="1" x14ac:dyDescent="0.25">
      <c r="A1" s="59" t="s">
        <v>967</v>
      </c>
      <c r="B1" s="50"/>
      <c r="C1" s="50"/>
      <c r="D1" s="50"/>
    </row>
    <row r="2" spans="1:4" ht="30" customHeight="1" x14ac:dyDescent="0.25">
      <c r="A2" s="49" t="s">
        <v>968</v>
      </c>
      <c r="B2" s="50"/>
      <c r="C2" s="50"/>
      <c r="D2" s="50"/>
    </row>
    <row r="3" spans="1:4" ht="21.95" customHeight="1" x14ac:dyDescent="0.25">
      <c r="A3" s="4" t="s">
        <v>969</v>
      </c>
      <c r="B3" s="4" t="s">
        <v>113</v>
      </c>
      <c r="C3" s="4" t="s">
        <v>970</v>
      </c>
      <c r="D3" s="4" t="s">
        <v>971</v>
      </c>
    </row>
    <row r="4" spans="1:4" ht="48.95" customHeight="1" x14ac:dyDescent="0.25">
      <c r="A4" s="6" t="s">
        <v>369</v>
      </c>
      <c r="B4" s="7" t="s">
        <v>972</v>
      </c>
      <c r="C4" s="5" t="s">
        <v>973</v>
      </c>
      <c r="D4" s="6" t="s">
        <v>974</v>
      </c>
    </row>
    <row r="5" spans="1:4" ht="33.950000000000003" customHeight="1" x14ac:dyDescent="0.25">
      <c r="A5" s="6" t="s">
        <v>369</v>
      </c>
      <c r="B5" s="7" t="s">
        <v>975</v>
      </c>
      <c r="C5" s="5" t="s">
        <v>976</v>
      </c>
      <c r="D5" s="6" t="s">
        <v>977</v>
      </c>
    </row>
    <row r="6" spans="1:4" ht="33.950000000000003" customHeight="1" x14ac:dyDescent="0.25">
      <c r="A6" s="6" t="s">
        <v>853</v>
      </c>
      <c r="B6" s="7" t="s">
        <v>972</v>
      </c>
      <c r="C6" s="5" t="s">
        <v>978</v>
      </c>
      <c r="D6" s="6" t="s">
        <v>979</v>
      </c>
    </row>
    <row r="7" spans="1:4" ht="33.950000000000003" customHeight="1" x14ac:dyDescent="0.25">
      <c r="A7" s="6" t="s">
        <v>855</v>
      </c>
      <c r="B7" s="7" t="s">
        <v>975</v>
      </c>
      <c r="C7" s="5" t="s">
        <v>980</v>
      </c>
      <c r="D7" s="6" t="s">
        <v>981</v>
      </c>
    </row>
    <row r="8" spans="1:4" ht="33.950000000000003" customHeight="1" x14ac:dyDescent="0.25">
      <c r="A8" s="6" t="s">
        <v>982</v>
      </c>
      <c r="B8" s="7" t="s">
        <v>975</v>
      </c>
      <c r="C8" s="5" t="s">
        <v>983</v>
      </c>
      <c r="D8" s="6" t="s">
        <v>984</v>
      </c>
    </row>
    <row r="9" spans="1:4" ht="48.95" customHeight="1" x14ac:dyDescent="0.25">
      <c r="A9" s="6" t="s">
        <v>853</v>
      </c>
      <c r="B9" s="7" t="s">
        <v>972</v>
      </c>
      <c r="C9" s="5" t="s">
        <v>985</v>
      </c>
      <c r="D9" s="6" t="s">
        <v>986</v>
      </c>
    </row>
    <row r="10" spans="1:4" ht="48.95" customHeight="1" x14ac:dyDescent="0.25">
      <c r="A10" s="6" t="s">
        <v>369</v>
      </c>
      <c r="B10" s="7" t="s">
        <v>975</v>
      </c>
      <c r="C10" s="5" t="s">
        <v>987</v>
      </c>
      <c r="D10" s="6" t="s">
        <v>988</v>
      </c>
    </row>
    <row r="11" spans="1:4" ht="33.950000000000003" customHeight="1" x14ac:dyDescent="0.25">
      <c r="A11" s="6" t="s">
        <v>989</v>
      </c>
      <c r="B11" s="7" t="s">
        <v>972</v>
      </c>
      <c r="C11" s="5" t="s">
        <v>990</v>
      </c>
      <c r="D11" s="6" t="s">
        <v>991</v>
      </c>
    </row>
    <row r="12" spans="1:4" ht="48.95" customHeight="1" x14ac:dyDescent="0.25">
      <c r="A12" s="6" t="s">
        <v>989</v>
      </c>
      <c r="B12" s="7" t="s">
        <v>992</v>
      </c>
      <c r="C12" s="5" t="s">
        <v>993</v>
      </c>
      <c r="D12" s="6" t="s">
        <v>994</v>
      </c>
    </row>
    <row r="13" spans="1:4" ht="48.95" customHeight="1" x14ac:dyDescent="0.25">
      <c r="A13" s="6" t="s">
        <v>853</v>
      </c>
      <c r="B13" s="7" t="s">
        <v>972</v>
      </c>
      <c r="C13" s="5" t="s">
        <v>995</v>
      </c>
      <c r="D13" s="6" t="s">
        <v>996</v>
      </c>
    </row>
    <row r="14" spans="1:4" ht="33.950000000000003" customHeight="1" x14ac:dyDescent="0.25">
      <c r="A14" s="6" t="s">
        <v>855</v>
      </c>
      <c r="B14" s="7" t="s">
        <v>975</v>
      </c>
      <c r="C14" s="5" t="s">
        <v>997</v>
      </c>
      <c r="D14" s="6" t="s">
        <v>998</v>
      </c>
    </row>
    <row r="15" spans="1:4" ht="33.950000000000003" customHeight="1" x14ac:dyDescent="0.25">
      <c r="A15" s="6" t="s">
        <v>855</v>
      </c>
      <c r="B15" s="7" t="s">
        <v>975</v>
      </c>
      <c r="C15" s="5" t="s">
        <v>999</v>
      </c>
      <c r="D15" s="6" t="s">
        <v>1000</v>
      </c>
    </row>
    <row r="16" spans="1:4" ht="33.950000000000003" customHeight="1" x14ac:dyDescent="0.25">
      <c r="A16" s="6" t="s">
        <v>853</v>
      </c>
      <c r="B16" s="7" t="s">
        <v>975</v>
      </c>
      <c r="C16" s="5" t="s">
        <v>1001</v>
      </c>
      <c r="D16" s="6" t="s">
        <v>1002</v>
      </c>
    </row>
    <row r="17" spans="1:4" ht="33.950000000000003" customHeight="1" x14ac:dyDescent="0.25">
      <c r="A17" s="6" t="s">
        <v>982</v>
      </c>
      <c r="B17" s="7" t="s">
        <v>975</v>
      </c>
      <c r="C17" s="5" t="s">
        <v>1003</v>
      </c>
      <c r="D17" s="6" t="s">
        <v>1004</v>
      </c>
    </row>
    <row r="18" spans="1:4" ht="33.950000000000003" customHeight="1" x14ac:dyDescent="0.25">
      <c r="A18" s="6" t="s">
        <v>854</v>
      </c>
      <c r="B18" s="7" t="s">
        <v>972</v>
      </c>
      <c r="C18" s="5" t="s">
        <v>1005</v>
      </c>
      <c r="D18" s="6" t="s">
        <v>1006</v>
      </c>
    </row>
    <row r="19" spans="1:4" ht="33.950000000000003" customHeight="1" x14ac:dyDescent="0.25">
      <c r="A19" s="6" t="s">
        <v>1007</v>
      </c>
      <c r="B19" s="7" t="s">
        <v>975</v>
      </c>
      <c r="C19" s="5" t="s">
        <v>1008</v>
      </c>
      <c r="D19" s="6" t="s">
        <v>1009</v>
      </c>
    </row>
    <row r="20" spans="1:4" ht="48.95" customHeight="1" x14ac:dyDescent="0.25">
      <c r="A20" s="6" t="s">
        <v>1007</v>
      </c>
      <c r="B20" s="7" t="s">
        <v>972</v>
      </c>
      <c r="C20" s="5" t="s">
        <v>1010</v>
      </c>
      <c r="D20" s="6" t="s">
        <v>1011</v>
      </c>
    </row>
    <row r="21" spans="1:4" ht="33.950000000000003" customHeight="1" x14ac:dyDescent="0.25">
      <c r="A21" s="6" t="s">
        <v>1007</v>
      </c>
      <c r="B21" s="7" t="s">
        <v>975</v>
      </c>
      <c r="C21" s="5" t="s">
        <v>1012</v>
      </c>
      <c r="D21" s="6" t="s">
        <v>1013</v>
      </c>
    </row>
    <row r="22" spans="1:4" ht="33.950000000000003" customHeight="1" x14ac:dyDescent="0.25">
      <c r="A22" s="6" t="s">
        <v>1007</v>
      </c>
      <c r="B22" s="7" t="s">
        <v>972</v>
      </c>
      <c r="C22" s="5" t="s">
        <v>1014</v>
      </c>
      <c r="D22" s="6" t="s">
        <v>1015</v>
      </c>
    </row>
    <row r="23" spans="1:4" ht="48.95" customHeight="1" x14ac:dyDescent="0.25">
      <c r="A23" s="6" t="s">
        <v>1007</v>
      </c>
      <c r="B23" s="7" t="s">
        <v>972</v>
      </c>
      <c r="C23" s="5" t="s">
        <v>1016</v>
      </c>
      <c r="D23" s="6" t="s">
        <v>1017</v>
      </c>
    </row>
    <row r="24" spans="1:4" ht="48.95" customHeight="1" x14ac:dyDescent="0.25">
      <c r="A24" s="6" t="s">
        <v>989</v>
      </c>
      <c r="B24" s="7" t="s">
        <v>975</v>
      </c>
      <c r="C24" s="5" t="s">
        <v>1018</v>
      </c>
      <c r="D24" s="6" t="s">
        <v>1019</v>
      </c>
    </row>
    <row r="25" spans="1:4" ht="48.95" customHeight="1" x14ac:dyDescent="0.25">
      <c r="A25" s="6" t="s">
        <v>989</v>
      </c>
      <c r="B25" s="7" t="s">
        <v>992</v>
      </c>
      <c r="C25" s="5" t="s">
        <v>1020</v>
      </c>
      <c r="D25" s="6" t="s">
        <v>1021</v>
      </c>
    </row>
    <row r="26" spans="1:4" ht="33.950000000000003" customHeight="1" x14ac:dyDescent="0.25">
      <c r="A26" s="6" t="s">
        <v>989</v>
      </c>
      <c r="B26" s="7" t="s">
        <v>992</v>
      </c>
      <c r="C26" s="5" t="s">
        <v>1022</v>
      </c>
      <c r="D26" s="6" t="s">
        <v>1023</v>
      </c>
    </row>
    <row r="27" spans="1:4" ht="33.950000000000003" customHeight="1" x14ac:dyDescent="0.25">
      <c r="A27" s="6" t="s">
        <v>369</v>
      </c>
      <c r="B27" s="7" t="s">
        <v>975</v>
      </c>
      <c r="C27" s="5" t="s">
        <v>1024</v>
      </c>
      <c r="D27" s="6" t="s">
        <v>1025</v>
      </c>
    </row>
    <row r="28" spans="1:4" ht="33.950000000000003" customHeight="1" x14ac:dyDescent="0.25">
      <c r="A28" s="6" t="s">
        <v>369</v>
      </c>
      <c r="B28" s="7" t="s">
        <v>975</v>
      </c>
      <c r="C28" s="5" t="s">
        <v>1026</v>
      </c>
      <c r="D28" s="6" t="s">
        <v>1027</v>
      </c>
    </row>
    <row r="29" spans="1:4" ht="33.950000000000003" customHeight="1" x14ac:dyDescent="0.25">
      <c r="A29" s="6" t="s">
        <v>369</v>
      </c>
      <c r="B29" s="7" t="s">
        <v>972</v>
      </c>
      <c r="C29" s="5" t="s">
        <v>1028</v>
      </c>
      <c r="D29" s="6" t="s">
        <v>1029</v>
      </c>
    </row>
    <row r="30" spans="1:4" ht="33.950000000000003" customHeight="1" x14ac:dyDescent="0.25">
      <c r="A30" s="6" t="s">
        <v>853</v>
      </c>
      <c r="B30" s="7" t="s">
        <v>975</v>
      </c>
      <c r="C30" s="5" t="s">
        <v>1030</v>
      </c>
      <c r="D30" s="6" t="s">
        <v>1031</v>
      </c>
    </row>
    <row r="31" spans="1:4" ht="33.950000000000003" customHeight="1" x14ac:dyDescent="0.25">
      <c r="A31" s="6" t="s">
        <v>853</v>
      </c>
      <c r="B31" s="7" t="s">
        <v>972</v>
      </c>
      <c r="C31" s="5" t="s">
        <v>1032</v>
      </c>
      <c r="D31" s="6" t="s">
        <v>1033</v>
      </c>
    </row>
    <row r="32" spans="1:4" ht="48.95" customHeight="1" x14ac:dyDescent="0.25">
      <c r="A32" s="6" t="s">
        <v>853</v>
      </c>
      <c r="B32" s="7" t="s">
        <v>975</v>
      </c>
      <c r="C32" s="5" t="s">
        <v>1034</v>
      </c>
      <c r="D32" s="6" t="s">
        <v>1035</v>
      </c>
    </row>
    <row r="33" spans="1:4" ht="33.950000000000003" customHeight="1" x14ac:dyDescent="0.25">
      <c r="A33" s="6" t="s">
        <v>853</v>
      </c>
      <c r="B33" s="7" t="s">
        <v>972</v>
      </c>
      <c r="C33" s="5" t="s">
        <v>1036</v>
      </c>
      <c r="D33" s="6" t="s">
        <v>1037</v>
      </c>
    </row>
    <row r="34" spans="1:4" ht="33.950000000000003" customHeight="1" x14ac:dyDescent="0.25">
      <c r="A34" s="6" t="s">
        <v>1038</v>
      </c>
      <c r="B34" s="7" t="s">
        <v>975</v>
      </c>
      <c r="C34" s="5" t="s">
        <v>1039</v>
      </c>
      <c r="D34" s="6" t="s">
        <v>1040</v>
      </c>
    </row>
    <row r="35" spans="1:4" ht="33.950000000000003" customHeight="1" x14ac:dyDescent="0.25">
      <c r="A35" s="6" t="s">
        <v>1038</v>
      </c>
      <c r="B35" s="7" t="s">
        <v>975</v>
      </c>
      <c r="C35" s="5" t="s">
        <v>1041</v>
      </c>
      <c r="D35" s="6" t="s">
        <v>1042</v>
      </c>
    </row>
    <row r="36" spans="1:4" ht="33.950000000000003" customHeight="1" x14ac:dyDescent="0.25">
      <c r="A36" s="6" t="s">
        <v>854</v>
      </c>
      <c r="B36" s="7" t="s">
        <v>975</v>
      </c>
      <c r="C36" s="5" t="s">
        <v>1043</v>
      </c>
      <c r="D36" s="6" t="s">
        <v>1044</v>
      </c>
    </row>
    <row r="37" spans="1:4" ht="33.950000000000003" customHeight="1" x14ac:dyDescent="0.25">
      <c r="A37" s="6" t="s">
        <v>854</v>
      </c>
      <c r="B37" s="7" t="s">
        <v>972</v>
      </c>
      <c r="C37" s="5" t="s">
        <v>1045</v>
      </c>
      <c r="D37" s="6" t="s">
        <v>1046</v>
      </c>
    </row>
    <row r="38" spans="1:4" ht="48.95" customHeight="1" x14ac:dyDescent="0.25">
      <c r="A38" s="6" t="s">
        <v>982</v>
      </c>
      <c r="B38" s="7" t="s">
        <v>975</v>
      </c>
      <c r="C38" s="5" t="s">
        <v>1047</v>
      </c>
      <c r="D38" s="6" t="s">
        <v>1048</v>
      </c>
    </row>
    <row r="39" spans="1:4" ht="33.950000000000003" customHeight="1" x14ac:dyDescent="0.25">
      <c r="A39" s="6" t="s">
        <v>982</v>
      </c>
      <c r="B39" s="7" t="s">
        <v>975</v>
      </c>
      <c r="C39" s="5" t="s">
        <v>1049</v>
      </c>
      <c r="D39" s="6" t="s">
        <v>1050</v>
      </c>
    </row>
  </sheetData>
  <autoFilter ref="A3:D39" xr:uid="{00000000-0009-0000-0000-00000A000000}"/>
  <mergeCells count="2">
    <mergeCell ref="A1:D1"/>
    <mergeCell ref="A2:D2"/>
  </mergeCells>
  <conditionalFormatting sqref="B4:B39">
    <cfRule type="cellIs" dxfId="5" priority="1" operator="equal">
      <formula>"Fácil"</formula>
    </cfRule>
    <cfRule type="cellIs" dxfId="4" priority="2" operator="equal">
      <formula>"Médio"</formula>
    </cfRule>
    <cfRule type="cellIs" dxfId="3" priority="3" operator="equal">
      <formula>"Avançado"</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84A3A"/>
  </sheetPr>
  <dimension ref="A1:E20"/>
  <sheetViews>
    <sheetView showGridLines="0" workbookViewId="0"/>
  </sheetViews>
  <sheetFormatPr defaultRowHeight="15" x14ac:dyDescent="0.25"/>
  <cols>
    <col min="1" max="1" width="36" customWidth="1"/>
    <col min="2" max="2" width="70" customWidth="1"/>
    <col min="3" max="3" width="4" customWidth="1"/>
    <col min="4" max="4" width="34" customWidth="1"/>
    <col min="5" max="5" width="60" customWidth="1"/>
  </cols>
  <sheetData>
    <row r="1" spans="1:5" ht="33.950000000000003" customHeight="1" x14ac:dyDescent="0.25">
      <c r="A1" s="59" t="s">
        <v>1051</v>
      </c>
      <c r="B1" s="50"/>
      <c r="C1" s="50"/>
      <c r="D1" s="50"/>
      <c r="E1" s="50"/>
    </row>
    <row r="2" spans="1:5" ht="30" customHeight="1" x14ac:dyDescent="0.25">
      <c r="A2" s="49" t="s">
        <v>1052</v>
      </c>
      <c r="B2" s="50"/>
      <c r="C2" s="50"/>
      <c r="D2" s="50"/>
      <c r="E2" s="50"/>
    </row>
    <row r="3" spans="1:5" ht="21.95" customHeight="1" x14ac:dyDescent="0.25">
      <c r="A3" s="4" t="s">
        <v>1053</v>
      </c>
      <c r="B3" s="4" t="s">
        <v>1054</v>
      </c>
      <c r="C3" s="4"/>
      <c r="D3" s="4"/>
      <c r="E3" s="4"/>
    </row>
    <row r="4" spans="1:5" ht="33.950000000000003" customHeight="1" x14ac:dyDescent="0.25">
      <c r="A4" s="5" t="s">
        <v>1055</v>
      </c>
      <c r="B4" s="6" t="s">
        <v>1056</v>
      </c>
      <c r="C4" s="6"/>
      <c r="D4" s="6"/>
      <c r="E4" s="6"/>
    </row>
    <row r="5" spans="1:5" ht="33.950000000000003" customHeight="1" x14ac:dyDescent="0.25">
      <c r="A5" s="5" t="s">
        <v>1057</v>
      </c>
      <c r="B5" s="6" t="s">
        <v>1058</v>
      </c>
      <c r="C5" s="6"/>
      <c r="D5" s="6"/>
      <c r="E5" s="6"/>
    </row>
    <row r="6" spans="1:5" ht="33.950000000000003" customHeight="1" x14ac:dyDescent="0.25">
      <c r="A6" s="5" t="s">
        <v>1059</v>
      </c>
      <c r="B6" s="6" t="s">
        <v>1060</v>
      </c>
      <c r="C6" s="6"/>
      <c r="D6" s="6"/>
      <c r="E6" s="6"/>
    </row>
    <row r="7" spans="1:5" ht="33.950000000000003" customHeight="1" x14ac:dyDescent="0.25">
      <c r="A7" s="5" t="s">
        <v>1061</v>
      </c>
      <c r="B7" s="6" t="s">
        <v>1062</v>
      </c>
      <c r="C7" s="6"/>
      <c r="D7" s="6"/>
      <c r="E7" s="6"/>
    </row>
    <row r="8" spans="1:5" ht="33.950000000000003" customHeight="1" x14ac:dyDescent="0.25">
      <c r="A8" s="5" t="s">
        <v>1063</v>
      </c>
      <c r="B8" s="6" t="s">
        <v>1064</v>
      </c>
      <c r="C8" s="6"/>
      <c r="D8" s="6"/>
      <c r="E8" s="6"/>
    </row>
    <row r="9" spans="1:5" ht="33.950000000000003" customHeight="1" x14ac:dyDescent="0.25">
      <c r="A9" s="5" t="s">
        <v>1065</v>
      </c>
      <c r="B9" s="6" t="s">
        <v>1066</v>
      </c>
      <c r="C9" s="6"/>
      <c r="D9" s="6"/>
      <c r="E9" s="6"/>
    </row>
    <row r="10" spans="1:5" ht="33.950000000000003" customHeight="1" x14ac:dyDescent="0.25">
      <c r="A10" s="5" t="s">
        <v>1067</v>
      </c>
      <c r="B10" s="6" t="s">
        <v>1068</v>
      </c>
      <c r="C10" s="6"/>
      <c r="D10" s="6"/>
      <c r="E10" s="6"/>
    </row>
    <row r="11" spans="1:5" ht="33.950000000000003" customHeight="1" x14ac:dyDescent="0.25">
      <c r="A11" s="5" t="s">
        <v>1069</v>
      </c>
      <c r="B11" s="6" t="s">
        <v>1070</v>
      </c>
      <c r="C11" s="6"/>
      <c r="D11" s="6"/>
      <c r="E11" s="6"/>
    </row>
    <row r="12" spans="1:5" ht="33.950000000000003" customHeight="1" x14ac:dyDescent="0.25">
      <c r="A12" s="5" t="s">
        <v>1071</v>
      </c>
      <c r="B12" s="6" t="s">
        <v>1072</v>
      </c>
      <c r="C12" s="6"/>
      <c r="D12" s="6"/>
      <c r="E12" s="6"/>
    </row>
    <row r="13" spans="1:5" ht="33.950000000000003" customHeight="1" x14ac:dyDescent="0.25">
      <c r="A13" s="5" t="s">
        <v>1073</v>
      </c>
      <c r="B13" s="6" t="s">
        <v>1074</v>
      </c>
      <c r="C13" s="6"/>
      <c r="D13" s="6"/>
      <c r="E13" s="6"/>
    </row>
    <row r="14" spans="1:5" ht="33.950000000000003" customHeight="1" x14ac:dyDescent="0.25">
      <c r="A14" s="5" t="s">
        <v>1075</v>
      </c>
      <c r="B14" s="6" t="s">
        <v>1076</v>
      </c>
      <c r="C14" s="6"/>
      <c r="D14" s="6"/>
      <c r="E14" s="6"/>
    </row>
    <row r="16" spans="1:5" ht="21.95" customHeight="1" x14ac:dyDescent="0.25">
      <c r="A16" s="52" t="s">
        <v>1077</v>
      </c>
      <c r="B16" s="53"/>
      <c r="C16" s="53"/>
      <c r="D16" s="53"/>
      <c r="E16" s="53"/>
    </row>
    <row r="17" spans="1:2" ht="138" customHeight="1" x14ac:dyDescent="0.25">
      <c r="A17" s="32" t="s">
        <v>1078</v>
      </c>
      <c r="B17" s="62" t="s">
        <v>1079</v>
      </c>
    </row>
    <row r="18" spans="1:2" ht="97.5" customHeight="1" x14ac:dyDescent="0.25">
      <c r="A18" s="32" t="s">
        <v>1080</v>
      </c>
      <c r="B18" s="62" t="s">
        <v>1081</v>
      </c>
    </row>
    <row r="19" spans="1:2" ht="138" customHeight="1" x14ac:dyDescent="0.25">
      <c r="A19" s="32" t="s">
        <v>1082</v>
      </c>
      <c r="B19" s="62" t="s">
        <v>1083</v>
      </c>
    </row>
    <row r="20" spans="1:2" ht="113.1" customHeight="1" x14ac:dyDescent="0.25">
      <c r="A20" s="32" t="s">
        <v>1084</v>
      </c>
      <c r="B20" s="62" t="s">
        <v>1085</v>
      </c>
    </row>
  </sheetData>
  <mergeCells count="7">
    <mergeCell ref="B20"/>
    <mergeCell ref="B19"/>
    <mergeCell ref="B17"/>
    <mergeCell ref="B18"/>
    <mergeCell ref="A2:E2"/>
    <mergeCell ref="A16:E16"/>
    <mergeCell ref="A1:E1"/>
  </mergeCells>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E9E86"/>
  </sheetPr>
  <dimension ref="A1:C46"/>
  <sheetViews>
    <sheetView showGridLines="0" workbookViewId="0"/>
  </sheetViews>
  <sheetFormatPr defaultRowHeight="15" x14ac:dyDescent="0.25"/>
  <cols>
    <col min="1" max="1" width="18" customWidth="1"/>
    <col min="2" max="2" width="50" customWidth="1"/>
    <col min="3" max="3" width="40" customWidth="1"/>
  </cols>
  <sheetData>
    <row r="1" spans="1:3" ht="33.950000000000003" customHeight="1" x14ac:dyDescent="0.25">
      <c r="A1" s="59" t="s">
        <v>1086</v>
      </c>
      <c r="B1" s="50"/>
      <c r="C1" s="50"/>
    </row>
    <row r="2" spans="1:3" ht="30" customHeight="1" x14ac:dyDescent="0.25">
      <c r="A2" s="49" t="s">
        <v>1087</v>
      </c>
      <c r="B2" s="50"/>
      <c r="C2" s="50"/>
    </row>
    <row r="3" spans="1:3" ht="21.95" customHeight="1" x14ac:dyDescent="0.25">
      <c r="A3" s="4" t="s">
        <v>8</v>
      </c>
      <c r="B3" s="4" t="s">
        <v>1088</v>
      </c>
      <c r="C3" s="4" t="s">
        <v>1089</v>
      </c>
    </row>
    <row r="4" spans="1:3" ht="30" customHeight="1" x14ac:dyDescent="0.25">
      <c r="A4" s="5" t="s">
        <v>1090</v>
      </c>
      <c r="B4" s="6" t="s">
        <v>1091</v>
      </c>
      <c r="C4" s="6" t="s">
        <v>1092</v>
      </c>
    </row>
    <row r="5" spans="1:3" ht="30" customHeight="1" x14ac:dyDescent="0.25">
      <c r="A5" s="5" t="s">
        <v>1093</v>
      </c>
      <c r="B5" s="6" t="s">
        <v>1094</v>
      </c>
      <c r="C5" s="6" t="s">
        <v>1095</v>
      </c>
    </row>
    <row r="6" spans="1:3" ht="30" customHeight="1" x14ac:dyDescent="0.25">
      <c r="A6" s="5" t="s">
        <v>1096</v>
      </c>
      <c r="B6" s="6" t="s">
        <v>1097</v>
      </c>
      <c r="C6" s="6" t="s">
        <v>1098</v>
      </c>
    </row>
    <row r="7" spans="1:3" ht="30" customHeight="1" x14ac:dyDescent="0.25">
      <c r="A7" s="5" t="s">
        <v>1099</v>
      </c>
      <c r="B7" s="6" t="s">
        <v>1100</v>
      </c>
      <c r="C7" s="6" t="s">
        <v>1101</v>
      </c>
    </row>
    <row r="8" spans="1:3" ht="30" customHeight="1" x14ac:dyDescent="0.25">
      <c r="A8" s="5" t="s">
        <v>1102</v>
      </c>
      <c r="B8" s="6" t="s">
        <v>1103</v>
      </c>
      <c r="C8" s="6" t="s">
        <v>1104</v>
      </c>
    </row>
    <row r="9" spans="1:3" ht="30" customHeight="1" x14ac:dyDescent="0.25">
      <c r="A9" s="5" t="s">
        <v>1105</v>
      </c>
      <c r="B9" s="6" t="s">
        <v>1106</v>
      </c>
      <c r="C9" s="6" t="s">
        <v>1107</v>
      </c>
    </row>
    <row r="11" spans="1:3" ht="21.95" customHeight="1" x14ac:dyDescent="0.25">
      <c r="A11" s="54" t="s">
        <v>1108</v>
      </c>
      <c r="B11" s="55"/>
      <c r="C11" s="55"/>
    </row>
    <row r="12" spans="1:3" ht="21.95" customHeight="1" x14ac:dyDescent="0.25">
      <c r="A12" s="4" t="s">
        <v>1109</v>
      </c>
      <c r="B12" s="4" t="s">
        <v>811</v>
      </c>
      <c r="C12" s="4"/>
    </row>
    <row r="13" spans="1:3" x14ac:dyDescent="0.25">
      <c r="A13" s="12" t="s">
        <v>1110</v>
      </c>
      <c r="B13" s="6" t="s">
        <v>1111</v>
      </c>
      <c r="C13" s="6"/>
    </row>
    <row r="14" spans="1:3" x14ac:dyDescent="0.25">
      <c r="A14" s="12" t="s">
        <v>1110</v>
      </c>
      <c r="B14" s="6" t="s">
        <v>1112</v>
      </c>
      <c r="C14" s="6"/>
    </row>
    <row r="15" spans="1:3" x14ac:dyDescent="0.25">
      <c r="A15" s="12" t="s">
        <v>1110</v>
      </c>
      <c r="B15" s="6" t="s">
        <v>1113</v>
      </c>
      <c r="C15" s="6"/>
    </row>
    <row r="16" spans="1:3" x14ac:dyDescent="0.25">
      <c r="A16" s="12" t="s">
        <v>1110</v>
      </c>
      <c r="B16" s="6" t="s">
        <v>1114</v>
      </c>
      <c r="C16" s="6"/>
    </row>
    <row r="17" spans="1:3" x14ac:dyDescent="0.25">
      <c r="A17" s="12" t="s">
        <v>1110</v>
      </c>
      <c r="B17" s="6" t="s">
        <v>1115</v>
      </c>
      <c r="C17" s="6"/>
    </row>
    <row r="18" spans="1:3" x14ac:dyDescent="0.25">
      <c r="A18" s="12" t="s">
        <v>1110</v>
      </c>
      <c r="B18" s="6" t="s">
        <v>1116</v>
      </c>
      <c r="C18" s="6"/>
    </row>
    <row r="19" spans="1:3" x14ac:dyDescent="0.25">
      <c r="A19" s="12" t="s">
        <v>1110</v>
      </c>
      <c r="B19" s="6" t="s">
        <v>1117</v>
      </c>
      <c r="C19" s="6"/>
    </row>
    <row r="20" spans="1:3" x14ac:dyDescent="0.25">
      <c r="A20" s="12" t="s">
        <v>1110</v>
      </c>
      <c r="B20" s="6" t="s">
        <v>1118</v>
      </c>
      <c r="C20" s="6"/>
    </row>
    <row r="21" spans="1:3" x14ac:dyDescent="0.25">
      <c r="A21" s="12" t="s">
        <v>1110</v>
      </c>
      <c r="B21" s="6" t="s">
        <v>1119</v>
      </c>
      <c r="C21" s="6"/>
    </row>
    <row r="22" spans="1:3" x14ac:dyDescent="0.25">
      <c r="A22" s="12" t="s">
        <v>1110</v>
      </c>
      <c r="B22" s="6" t="s">
        <v>1120</v>
      </c>
      <c r="C22" s="6"/>
    </row>
    <row r="23" spans="1:3" x14ac:dyDescent="0.25">
      <c r="A23" s="12" t="s">
        <v>1110</v>
      </c>
      <c r="B23" s="6" t="s">
        <v>1121</v>
      </c>
      <c r="C23" s="6"/>
    </row>
    <row r="24" spans="1:3" x14ac:dyDescent="0.25">
      <c r="A24" s="12" t="s">
        <v>1110</v>
      </c>
      <c r="B24" s="6" t="s">
        <v>1122</v>
      </c>
      <c r="C24" s="6"/>
    </row>
    <row r="25" spans="1:3" x14ac:dyDescent="0.25">
      <c r="A25" s="12" t="s">
        <v>1110</v>
      </c>
      <c r="B25" s="6" t="s">
        <v>1123</v>
      </c>
      <c r="C25" s="6"/>
    </row>
    <row r="26" spans="1:3" x14ac:dyDescent="0.25">
      <c r="A26" s="12" t="s">
        <v>1110</v>
      </c>
      <c r="B26" s="6" t="s">
        <v>1124</v>
      </c>
      <c r="C26" s="6"/>
    </row>
    <row r="27" spans="1:3" x14ac:dyDescent="0.25">
      <c r="A27" s="12" t="s">
        <v>1110</v>
      </c>
      <c r="B27" s="6" t="s">
        <v>1125</v>
      </c>
      <c r="C27" s="6"/>
    </row>
    <row r="28" spans="1:3" x14ac:dyDescent="0.25">
      <c r="A28" s="12" t="s">
        <v>1110</v>
      </c>
      <c r="B28" s="6" t="s">
        <v>1126</v>
      </c>
      <c r="C28" s="6"/>
    </row>
    <row r="29" spans="1:3" x14ac:dyDescent="0.25">
      <c r="A29" s="12" t="s">
        <v>1110</v>
      </c>
      <c r="B29" s="6" t="s">
        <v>1127</v>
      </c>
      <c r="C29" s="6"/>
    </row>
    <row r="30" spans="1:3" x14ac:dyDescent="0.25">
      <c r="A30" s="12" t="s">
        <v>1110</v>
      </c>
      <c r="B30" s="6" t="s">
        <v>1128</v>
      </c>
      <c r="C30" s="6"/>
    </row>
    <row r="31" spans="1:3" x14ac:dyDescent="0.25">
      <c r="A31" s="12" t="s">
        <v>1110</v>
      </c>
      <c r="B31" s="6" t="s">
        <v>1129</v>
      </c>
      <c r="C31" s="6"/>
    </row>
    <row r="32" spans="1:3" x14ac:dyDescent="0.25">
      <c r="A32" s="12" t="s">
        <v>1110</v>
      </c>
      <c r="B32" s="6" t="s">
        <v>1130</v>
      </c>
      <c r="C32" s="6"/>
    </row>
    <row r="33" spans="1:3" x14ac:dyDescent="0.25">
      <c r="A33" s="12" t="s">
        <v>1110</v>
      </c>
      <c r="B33" s="6" t="s">
        <v>1131</v>
      </c>
      <c r="C33" s="6"/>
    </row>
    <row r="34" spans="1:3" x14ac:dyDescent="0.25">
      <c r="A34" s="12" t="s">
        <v>1110</v>
      </c>
      <c r="B34" s="6" t="s">
        <v>1132</v>
      </c>
      <c r="C34" s="6"/>
    </row>
    <row r="35" spans="1:3" x14ac:dyDescent="0.25">
      <c r="A35" s="12" t="s">
        <v>1110</v>
      </c>
      <c r="B35" s="6" t="s">
        <v>1133</v>
      </c>
      <c r="C35" s="6"/>
    </row>
    <row r="36" spans="1:3" x14ac:dyDescent="0.25">
      <c r="A36" s="12" t="s">
        <v>1134</v>
      </c>
      <c r="B36" s="6" t="s">
        <v>1135</v>
      </c>
      <c r="C36" s="6"/>
    </row>
    <row r="37" spans="1:3" x14ac:dyDescent="0.25">
      <c r="A37" s="12" t="s">
        <v>1134</v>
      </c>
      <c r="B37" s="6" t="s">
        <v>1136</v>
      </c>
      <c r="C37" s="6"/>
    </row>
    <row r="38" spans="1:3" x14ac:dyDescent="0.25">
      <c r="A38" s="12" t="s">
        <v>1137</v>
      </c>
      <c r="B38" s="6" t="s">
        <v>1138</v>
      </c>
      <c r="C38" s="6"/>
    </row>
    <row r="39" spans="1:3" x14ac:dyDescent="0.25">
      <c r="A39" s="12" t="s">
        <v>1139</v>
      </c>
      <c r="B39" s="6" t="s">
        <v>1140</v>
      </c>
      <c r="C39" s="6"/>
    </row>
    <row r="40" spans="1:3" x14ac:dyDescent="0.25">
      <c r="A40" s="12" t="s">
        <v>1139</v>
      </c>
      <c r="B40" s="6" t="s">
        <v>1141</v>
      </c>
      <c r="C40" s="6"/>
    </row>
    <row r="41" spans="1:3" x14ac:dyDescent="0.25">
      <c r="A41" s="12" t="s">
        <v>1139</v>
      </c>
      <c r="B41" s="6" t="s">
        <v>1142</v>
      </c>
      <c r="C41" s="6"/>
    </row>
    <row r="42" spans="1:3" x14ac:dyDescent="0.25">
      <c r="A42" s="12" t="s">
        <v>1139</v>
      </c>
      <c r="B42" s="6" t="s">
        <v>1143</v>
      </c>
      <c r="C42" s="6"/>
    </row>
    <row r="43" spans="1:3" x14ac:dyDescent="0.25">
      <c r="A43" s="12" t="s">
        <v>1144</v>
      </c>
      <c r="B43" s="6" t="s">
        <v>1145</v>
      </c>
      <c r="C43" s="6"/>
    </row>
    <row r="44" spans="1:3" x14ac:dyDescent="0.25">
      <c r="A44" s="12" t="s">
        <v>1144</v>
      </c>
      <c r="B44" s="6" t="s">
        <v>1146</v>
      </c>
      <c r="C44" s="6"/>
    </row>
    <row r="45" spans="1:3" x14ac:dyDescent="0.25">
      <c r="A45" s="12" t="s">
        <v>1144</v>
      </c>
      <c r="B45" s="6" t="s">
        <v>1147</v>
      </c>
      <c r="C45" s="6"/>
    </row>
    <row r="46" spans="1:3" x14ac:dyDescent="0.25">
      <c r="A46" s="12" t="s">
        <v>1148</v>
      </c>
      <c r="B46" s="6" t="s">
        <v>1149</v>
      </c>
      <c r="C46" s="6"/>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84A3A"/>
  </sheetPr>
  <dimension ref="A1:E123"/>
  <sheetViews>
    <sheetView showGridLines="0" workbookViewId="0"/>
  </sheetViews>
  <sheetFormatPr defaultRowHeight="15" x14ac:dyDescent="0.25"/>
  <cols>
    <col min="1" max="1" width="6" customWidth="1"/>
    <col min="2" max="2" width="44" customWidth="1"/>
    <col min="3" max="3" width="40" customWidth="1"/>
    <col min="4" max="4" width="58" customWidth="1"/>
    <col min="5" max="5" width="44" customWidth="1"/>
  </cols>
  <sheetData>
    <row r="1" spans="1:5" ht="33.950000000000003" customHeight="1" x14ac:dyDescent="0.25">
      <c r="A1" s="59" t="s">
        <v>1150</v>
      </c>
      <c r="B1" s="50"/>
      <c r="C1" s="50"/>
      <c r="D1" s="50"/>
      <c r="E1" s="50"/>
    </row>
    <row r="2" spans="1:5" ht="30" customHeight="1" x14ac:dyDescent="0.25">
      <c r="A2" s="49" t="s">
        <v>1151</v>
      </c>
      <c r="B2" s="50"/>
      <c r="C2" s="50"/>
      <c r="D2" s="50"/>
      <c r="E2" s="50"/>
    </row>
    <row r="3" spans="1:5" ht="21.95" customHeight="1" x14ac:dyDescent="0.25">
      <c r="A3" s="4" t="s">
        <v>677</v>
      </c>
      <c r="B3" s="4" t="s">
        <v>1152</v>
      </c>
      <c r="C3" s="4" t="s">
        <v>1153</v>
      </c>
      <c r="D3" s="4" t="s">
        <v>1154</v>
      </c>
      <c r="E3" s="4" t="s">
        <v>1155</v>
      </c>
    </row>
    <row r="4" spans="1:5" ht="63.95" customHeight="1" x14ac:dyDescent="0.25">
      <c r="A4" s="7">
        <v>1</v>
      </c>
      <c r="B4" s="31" t="s">
        <v>1156</v>
      </c>
      <c r="C4" s="6" t="s">
        <v>1157</v>
      </c>
      <c r="D4" s="6" t="s">
        <v>1158</v>
      </c>
      <c r="E4" s="23" t="s">
        <v>1159</v>
      </c>
    </row>
    <row r="5" spans="1:5" ht="63.95" customHeight="1" x14ac:dyDescent="0.25">
      <c r="A5" s="7">
        <v>2</v>
      </c>
      <c r="B5" s="31" t="s">
        <v>1160</v>
      </c>
      <c r="C5" s="6" t="s">
        <v>1161</v>
      </c>
      <c r="D5" s="6" t="s">
        <v>1162</v>
      </c>
      <c r="E5" s="23"/>
    </row>
    <row r="6" spans="1:5" ht="48.95" customHeight="1" x14ac:dyDescent="0.25">
      <c r="A6" s="7">
        <v>3</v>
      </c>
      <c r="B6" s="31" t="s">
        <v>1163</v>
      </c>
      <c r="C6" s="6" t="s">
        <v>1164</v>
      </c>
      <c r="D6" s="6" t="s">
        <v>1165</v>
      </c>
      <c r="E6" s="23"/>
    </row>
    <row r="7" spans="1:5" ht="48.95" customHeight="1" x14ac:dyDescent="0.25">
      <c r="A7" s="7">
        <v>4</v>
      </c>
      <c r="B7" s="31" t="s">
        <v>1166</v>
      </c>
      <c r="C7" s="6" t="s">
        <v>1167</v>
      </c>
      <c r="D7" s="6" t="s">
        <v>1168</v>
      </c>
      <c r="E7" s="23" t="s">
        <v>1169</v>
      </c>
    </row>
    <row r="8" spans="1:5" ht="48.95" customHeight="1" x14ac:dyDescent="0.25">
      <c r="A8" s="7">
        <v>5</v>
      </c>
      <c r="B8" s="31" t="s">
        <v>1170</v>
      </c>
      <c r="C8" s="6" t="s">
        <v>1171</v>
      </c>
      <c r="D8" s="6" t="s">
        <v>1172</v>
      </c>
      <c r="E8" s="23"/>
    </row>
    <row r="9" spans="1:5" ht="48.95" customHeight="1" x14ac:dyDescent="0.25">
      <c r="A9" s="7">
        <v>6</v>
      </c>
      <c r="B9" s="31" t="s">
        <v>1173</v>
      </c>
      <c r="C9" s="6" t="s">
        <v>1174</v>
      </c>
      <c r="D9" s="6" t="s">
        <v>1175</v>
      </c>
      <c r="E9" s="23" t="s">
        <v>1176</v>
      </c>
    </row>
    <row r="10" spans="1:5" ht="48.95" customHeight="1" x14ac:dyDescent="0.25">
      <c r="A10" s="7">
        <v>7</v>
      </c>
      <c r="B10" s="31" t="s">
        <v>1177</v>
      </c>
      <c r="C10" s="6" t="s">
        <v>1178</v>
      </c>
      <c r="D10" s="6" t="s">
        <v>1179</v>
      </c>
      <c r="E10" s="23" t="s">
        <v>1180</v>
      </c>
    </row>
    <row r="11" spans="1:5" ht="33.950000000000003" customHeight="1" x14ac:dyDescent="0.25">
      <c r="A11" s="7">
        <v>8</v>
      </c>
      <c r="B11" s="31" t="s">
        <v>1181</v>
      </c>
      <c r="C11" s="6" t="s">
        <v>1182</v>
      </c>
      <c r="D11" s="6" t="s">
        <v>1183</v>
      </c>
      <c r="E11" s="23" t="s">
        <v>1184</v>
      </c>
    </row>
    <row r="12" spans="1:5" ht="48.95" customHeight="1" x14ac:dyDescent="0.25">
      <c r="A12" s="7">
        <v>9</v>
      </c>
      <c r="B12" s="31" t="s">
        <v>1185</v>
      </c>
      <c r="C12" s="6" t="s">
        <v>1186</v>
      </c>
      <c r="D12" s="6" t="s">
        <v>1187</v>
      </c>
      <c r="E12" s="23"/>
    </row>
    <row r="13" spans="1:5" ht="63.95" customHeight="1" x14ac:dyDescent="0.25">
      <c r="A13" s="7">
        <v>10</v>
      </c>
      <c r="B13" s="31" t="s">
        <v>1188</v>
      </c>
      <c r="C13" s="6" t="s">
        <v>1189</v>
      </c>
      <c r="D13" s="6" t="s">
        <v>1190</v>
      </c>
      <c r="E13" s="23"/>
    </row>
    <row r="14" spans="1:5" ht="48.95" customHeight="1" x14ac:dyDescent="0.25">
      <c r="A14" s="7">
        <v>11</v>
      </c>
      <c r="B14" s="31" t="s">
        <v>1191</v>
      </c>
      <c r="C14" s="6" t="s">
        <v>1192</v>
      </c>
      <c r="D14" s="6" t="s">
        <v>1193</v>
      </c>
      <c r="E14" s="23" t="s">
        <v>1194</v>
      </c>
    </row>
    <row r="16" spans="1:5" ht="21.95" customHeight="1" x14ac:dyDescent="0.25">
      <c r="A16" s="54" t="s">
        <v>1195</v>
      </c>
      <c r="B16" s="55"/>
      <c r="C16" s="55"/>
      <c r="D16" s="55"/>
      <c r="E16" s="55"/>
    </row>
    <row r="17" spans="1:5" x14ac:dyDescent="0.25">
      <c r="B17" s="33" t="s">
        <v>1196</v>
      </c>
      <c r="C17" s="34">
        <v>0.8</v>
      </c>
    </row>
    <row r="18" spans="1:5" x14ac:dyDescent="0.25">
      <c r="B18" s="33" t="s">
        <v>1197</v>
      </c>
      <c r="C18" s="34">
        <v>0.11</v>
      </c>
    </row>
    <row r="19" spans="1:5" x14ac:dyDescent="0.25">
      <c r="B19" s="33" t="s">
        <v>1198</v>
      </c>
      <c r="C19" s="34">
        <v>0.06</v>
      </c>
    </row>
    <row r="21" spans="1:5" ht="21.95" customHeight="1" x14ac:dyDescent="0.25">
      <c r="A21" s="54" t="s">
        <v>1199</v>
      </c>
      <c r="B21" s="55"/>
      <c r="C21" s="55"/>
      <c r="D21" s="55"/>
      <c r="E21" s="55"/>
    </row>
    <row r="22" spans="1:5" x14ac:dyDescent="0.25">
      <c r="B22" s="33" t="s">
        <v>1200</v>
      </c>
      <c r="C22" s="34">
        <v>0.39</v>
      </c>
    </row>
    <row r="23" spans="1:5" x14ac:dyDescent="0.25">
      <c r="B23" s="33" t="s">
        <v>1201</v>
      </c>
      <c r="C23" s="34">
        <v>0.26</v>
      </c>
    </row>
    <row r="24" spans="1:5" x14ac:dyDescent="0.25">
      <c r="B24" s="33" t="s">
        <v>1202</v>
      </c>
      <c r="C24" s="34">
        <v>0.24</v>
      </c>
    </row>
    <row r="25" spans="1:5" x14ac:dyDescent="0.25">
      <c r="B25" s="33" t="s">
        <v>1203</v>
      </c>
      <c r="C25" s="34">
        <v>0.06</v>
      </c>
    </row>
    <row r="27" spans="1:5" ht="21.95" customHeight="1" x14ac:dyDescent="0.25">
      <c r="A27" s="54" t="s">
        <v>1204</v>
      </c>
      <c r="B27" s="55"/>
      <c r="C27" s="55"/>
      <c r="D27" s="55"/>
      <c r="E27" s="55"/>
    </row>
    <row r="28" spans="1:5" x14ac:dyDescent="0.25">
      <c r="B28" s="33" t="s">
        <v>1205</v>
      </c>
      <c r="C28" s="34">
        <v>0.62</v>
      </c>
    </row>
    <row r="29" spans="1:5" x14ac:dyDescent="0.25">
      <c r="B29" s="33" t="s">
        <v>1206</v>
      </c>
      <c r="C29" s="34">
        <v>0.32</v>
      </c>
    </row>
    <row r="30" spans="1:5" x14ac:dyDescent="0.25">
      <c r="B30" s="33" t="s">
        <v>1207</v>
      </c>
      <c r="C30" s="34">
        <v>0.02</v>
      </c>
    </row>
    <row r="32" spans="1:5" ht="21.95" customHeight="1" x14ac:dyDescent="0.25">
      <c r="A32" s="54" t="s">
        <v>1208</v>
      </c>
      <c r="B32" s="55"/>
      <c r="C32" s="55"/>
      <c r="D32" s="55"/>
      <c r="E32" s="55"/>
    </row>
    <row r="33" spans="1:5" x14ac:dyDescent="0.25">
      <c r="B33" s="33" t="s">
        <v>831</v>
      </c>
      <c r="C33" s="34">
        <v>0.99</v>
      </c>
    </row>
    <row r="34" spans="1:5" x14ac:dyDescent="0.25">
      <c r="B34" s="33" t="s">
        <v>836</v>
      </c>
      <c r="C34" s="34">
        <v>0.34</v>
      </c>
    </row>
    <row r="35" spans="1:5" x14ac:dyDescent="0.25">
      <c r="B35" s="33" t="s">
        <v>847</v>
      </c>
      <c r="C35" s="34">
        <v>0.27</v>
      </c>
    </row>
    <row r="36" spans="1:5" x14ac:dyDescent="0.25">
      <c r="B36" s="33" t="s">
        <v>1209</v>
      </c>
      <c r="C36" s="34">
        <v>0.04</v>
      </c>
    </row>
    <row r="37" spans="1:5" x14ac:dyDescent="0.25">
      <c r="B37" s="33" t="s">
        <v>1210</v>
      </c>
      <c r="C37" s="34">
        <v>0.02</v>
      </c>
    </row>
    <row r="39" spans="1:5" ht="21.95" customHeight="1" x14ac:dyDescent="0.25">
      <c r="A39" s="54" t="s">
        <v>1211</v>
      </c>
      <c r="B39" s="55"/>
      <c r="C39" s="55"/>
      <c r="D39" s="55"/>
      <c r="E39" s="55"/>
    </row>
    <row r="40" spans="1:5" x14ac:dyDescent="0.25">
      <c r="B40" s="33" t="s">
        <v>818</v>
      </c>
      <c r="C40" s="34">
        <v>1</v>
      </c>
    </row>
    <row r="41" spans="1:5" x14ac:dyDescent="0.25">
      <c r="B41" s="33" t="s">
        <v>329</v>
      </c>
      <c r="C41" s="34">
        <v>0.99</v>
      </c>
    </row>
    <row r="42" spans="1:5" x14ac:dyDescent="0.25">
      <c r="B42" s="33" t="s">
        <v>822</v>
      </c>
      <c r="C42" s="34">
        <v>0.97</v>
      </c>
    </row>
    <row r="43" spans="1:5" x14ac:dyDescent="0.25">
      <c r="B43" s="33" t="s">
        <v>826</v>
      </c>
      <c r="C43" s="34">
        <v>0.86</v>
      </c>
    </row>
    <row r="45" spans="1:5" ht="21.95" customHeight="1" x14ac:dyDescent="0.25">
      <c r="A45" s="54" t="s">
        <v>1212</v>
      </c>
      <c r="B45" s="55"/>
      <c r="C45" s="55"/>
      <c r="D45" s="55"/>
      <c r="E45" s="55"/>
    </row>
    <row r="46" spans="1:5" x14ac:dyDescent="0.25">
      <c r="B46" s="33" t="s">
        <v>329</v>
      </c>
      <c r="C46" s="34">
        <v>0.99</v>
      </c>
    </row>
    <row r="47" spans="1:5" x14ac:dyDescent="0.25">
      <c r="B47" s="33" t="s">
        <v>447</v>
      </c>
      <c r="C47" s="34">
        <v>0.97</v>
      </c>
    </row>
    <row r="48" spans="1:5" x14ac:dyDescent="0.25">
      <c r="B48" s="33" t="s">
        <v>461</v>
      </c>
      <c r="C48" s="34">
        <v>0.84</v>
      </c>
    </row>
    <row r="49" spans="1:5" x14ac:dyDescent="0.25">
      <c r="B49" s="33" t="s">
        <v>1213</v>
      </c>
      <c r="C49" s="34">
        <v>0.72</v>
      </c>
    </row>
    <row r="50" spans="1:5" x14ac:dyDescent="0.25">
      <c r="B50" s="33" t="s">
        <v>787</v>
      </c>
      <c r="C50" s="34">
        <v>0.4</v>
      </c>
    </row>
    <row r="51" spans="1:5" x14ac:dyDescent="0.25">
      <c r="B51" s="33" t="s">
        <v>1214</v>
      </c>
      <c r="C51" s="34">
        <v>0.28999999999999998</v>
      </c>
    </row>
    <row r="52" spans="1:5" x14ac:dyDescent="0.25">
      <c r="B52" s="33" t="s">
        <v>1215</v>
      </c>
      <c r="C52" s="34">
        <v>0.26</v>
      </c>
    </row>
    <row r="53" spans="1:5" x14ac:dyDescent="0.25">
      <c r="B53" s="33" t="s">
        <v>727</v>
      </c>
      <c r="C53" s="34">
        <v>0.23</v>
      </c>
    </row>
    <row r="54" spans="1:5" x14ac:dyDescent="0.25">
      <c r="B54" s="33" t="s">
        <v>1216</v>
      </c>
      <c r="C54" s="34">
        <v>0.17</v>
      </c>
    </row>
    <row r="56" spans="1:5" ht="21.95" customHeight="1" x14ac:dyDescent="0.25">
      <c r="A56" s="54" t="s">
        <v>1217</v>
      </c>
      <c r="B56" s="55"/>
      <c r="C56" s="55"/>
      <c r="D56" s="55"/>
      <c r="E56" s="55"/>
    </row>
    <row r="57" spans="1:5" x14ac:dyDescent="0.25">
      <c r="B57" s="33" t="s">
        <v>485</v>
      </c>
      <c r="C57" s="34">
        <v>1</v>
      </c>
    </row>
    <row r="58" spans="1:5" x14ac:dyDescent="0.25">
      <c r="B58" s="33" t="s">
        <v>456</v>
      </c>
      <c r="C58" s="34">
        <v>0.8</v>
      </c>
    </row>
    <row r="59" spans="1:5" x14ac:dyDescent="0.25">
      <c r="B59" s="33" t="s">
        <v>430</v>
      </c>
      <c r="C59" s="34">
        <v>0.28999999999999998</v>
      </c>
    </row>
    <row r="60" spans="1:5" x14ac:dyDescent="0.25">
      <c r="B60" s="33" t="s">
        <v>1218</v>
      </c>
      <c r="C60" s="34">
        <v>0.24</v>
      </c>
    </row>
    <row r="62" spans="1:5" ht="21.95" customHeight="1" x14ac:dyDescent="0.25">
      <c r="A62" s="54" t="s">
        <v>1219</v>
      </c>
      <c r="B62" s="55"/>
      <c r="C62" s="55"/>
      <c r="D62" s="55"/>
      <c r="E62" s="55"/>
    </row>
    <row r="63" spans="1:5" x14ac:dyDescent="0.25">
      <c r="B63" s="33" t="s">
        <v>397</v>
      </c>
      <c r="C63" s="34">
        <v>0.98</v>
      </c>
    </row>
    <row r="64" spans="1:5" x14ac:dyDescent="0.25">
      <c r="B64" s="33" t="s">
        <v>373</v>
      </c>
      <c r="C64" s="34">
        <v>0.97</v>
      </c>
    </row>
    <row r="65" spans="1:5" x14ac:dyDescent="0.25">
      <c r="B65" s="33" t="s">
        <v>365</v>
      </c>
      <c r="C65" s="34">
        <v>0.96</v>
      </c>
    </row>
    <row r="66" spans="1:5" x14ac:dyDescent="0.25">
      <c r="B66" s="33" t="s">
        <v>341</v>
      </c>
      <c r="C66" s="34">
        <v>0.93</v>
      </c>
    </row>
    <row r="67" spans="1:5" x14ac:dyDescent="0.25">
      <c r="B67" s="33" t="s">
        <v>422</v>
      </c>
      <c r="C67" s="34">
        <v>0.91</v>
      </c>
    </row>
    <row r="68" spans="1:5" x14ac:dyDescent="0.25">
      <c r="B68" s="33" t="s">
        <v>452</v>
      </c>
      <c r="C68" s="34">
        <v>0.69</v>
      </c>
    </row>
    <row r="70" spans="1:5" ht="21.95" customHeight="1" x14ac:dyDescent="0.25">
      <c r="A70" s="54" t="s">
        <v>1220</v>
      </c>
      <c r="B70" s="55"/>
      <c r="C70" s="55"/>
      <c r="D70" s="55"/>
      <c r="E70" s="55"/>
    </row>
    <row r="71" spans="1:5" x14ac:dyDescent="0.25">
      <c r="B71" s="33" t="s">
        <v>1221</v>
      </c>
      <c r="C71" s="34">
        <v>0.2</v>
      </c>
    </row>
    <row r="72" spans="1:5" x14ac:dyDescent="0.25">
      <c r="B72" s="33" t="s">
        <v>1222</v>
      </c>
      <c r="C72" s="34">
        <v>0.13</v>
      </c>
    </row>
    <row r="73" spans="1:5" x14ac:dyDescent="0.25">
      <c r="B73" s="33" t="s">
        <v>1223</v>
      </c>
      <c r="C73" s="34">
        <v>0.11</v>
      </c>
    </row>
    <row r="74" spans="1:5" x14ac:dyDescent="0.25">
      <c r="B74" s="33" t="s">
        <v>1224</v>
      </c>
      <c r="C74" s="34">
        <v>0.05</v>
      </c>
    </row>
    <row r="75" spans="1:5" x14ac:dyDescent="0.25">
      <c r="B75" s="33" t="s">
        <v>1225</v>
      </c>
      <c r="C75" s="34">
        <v>0.04</v>
      </c>
    </row>
    <row r="76" spans="1:5" x14ac:dyDescent="0.25">
      <c r="B76" s="33" t="s">
        <v>1226</v>
      </c>
      <c r="C76" s="34">
        <v>0.03</v>
      </c>
    </row>
    <row r="78" spans="1:5" ht="21.95" customHeight="1" x14ac:dyDescent="0.25">
      <c r="A78" s="54" t="s">
        <v>1227</v>
      </c>
      <c r="B78" s="55"/>
      <c r="C78" s="55"/>
      <c r="D78" s="55"/>
      <c r="E78" s="55"/>
    </row>
    <row r="79" spans="1:5" x14ac:dyDescent="0.25">
      <c r="B79" s="33" t="s">
        <v>1228</v>
      </c>
      <c r="C79" s="34">
        <v>0.43</v>
      </c>
    </row>
    <row r="80" spans="1:5" x14ac:dyDescent="0.25">
      <c r="B80" s="33" t="s">
        <v>1229</v>
      </c>
      <c r="C80" s="34">
        <v>0.33</v>
      </c>
    </row>
    <row r="81" spans="1:5" x14ac:dyDescent="0.25">
      <c r="B81" s="33" t="s">
        <v>1230</v>
      </c>
      <c r="C81" s="34">
        <v>0.26</v>
      </c>
    </row>
    <row r="82" spans="1:5" x14ac:dyDescent="0.25">
      <c r="B82" s="33" t="s">
        <v>1231</v>
      </c>
      <c r="C82" s="34">
        <v>0.25</v>
      </c>
    </row>
    <row r="83" spans="1:5" x14ac:dyDescent="0.25">
      <c r="B83" s="33" t="s">
        <v>1232</v>
      </c>
      <c r="C83" s="34">
        <v>0.22</v>
      </c>
    </row>
    <row r="84" spans="1:5" x14ac:dyDescent="0.25">
      <c r="B84" s="33" t="s">
        <v>1233</v>
      </c>
      <c r="C84" s="34">
        <v>0.12</v>
      </c>
    </row>
    <row r="85" spans="1:5" x14ac:dyDescent="0.25">
      <c r="B85" s="33" t="s">
        <v>1234</v>
      </c>
      <c r="C85" s="34">
        <v>0.1</v>
      </c>
    </row>
    <row r="87" spans="1:5" ht="21.95" customHeight="1" x14ac:dyDescent="0.25">
      <c r="A87" s="54" t="s">
        <v>1235</v>
      </c>
      <c r="B87" s="55"/>
      <c r="C87" s="55"/>
      <c r="D87" s="55"/>
      <c r="E87" s="55"/>
    </row>
    <row r="88" spans="1:5" x14ac:dyDescent="0.25">
      <c r="B88" s="33" t="s">
        <v>1236</v>
      </c>
      <c r="C88" s="34">
        <v>0.21</v>
      </c>
    </row>
    <row r="89" spans="1:5" x14ac:dyDescent="0.25">
      <c r="B89" s="33" t="s">
        <v>1237</v>
      </c>
      <c r="C89" s="34">
        <v>0.08</v>
      </c>
    </row>
    <row r="90" spans="1:5" x14ac:dyDescent="0.25">
      <c r="B90" s="33" t="s">
        <v>1238</v>
      </c>
      <c r="C90" s="34">
        <v>7.0000000000000007E-2</v>
      </c>
    </row>
    <row r="91" spans="1:5" x14ac:dyDescent="0.25">
      <c r="B91" s="33" t="s">
        <v>1239</v>
      </c>
      <c r="C91" s="34">
        <v>7.0000000000000007E-2</v>
      </c>
    </row>
    <row r="93" spans="1:5" ht="21.95" customHeight="1" x14ac:dyDescent="0.25">
      <c r="A93" s="54" t="s">
        <v>1240</v>
      </c>
      <c r="B93" s="55"/>
      <c r="C93" s="55"/>
      <c r="D93" s="55"/>
      <c r="E93" s="55"/>
    </row>
    <row r="94" spans="1:5" x14ac:dyDescent="0.25">
      <c r="B94" s="33" t="s">
        <v>1241</v>
      </c>
      <c r="C94" s="34">
        <v>7.0000000000000007E-2</v>
      </c>
    </row>
    <row r="95" spans="1:5" x14ac:dyDescent="0.25">
      <c r="B95" s="33" t="s">
        <v>1242</v>
      </c>
      <c r="C95" s="34">
        <v>0.06</v>
      </c>
    </row>
    <row r="96" spans="1:5" x14ac:dyDescent="0.25">
      <c r="B96" s="33" t="s">
        <v>1243</v>
      </c>
      <c r="C96" s="34">
        <v>0.04</v>
      </c>
    </row>
    <row r="97" spans="1:5" x14ac:dyDescent="0.25">
      <c r="B97" s="33" t="s">
        <v>1244</v>
      </c>
      <c r="C97" s="34">
        <v>0.03</v>
      </c>
    </row>
    <row r="99" spans="1:5" ht="21.95" customHeight="1" x14ac:dyDescent="0.25">
      <c r="A99" s="54" t="s">
        <v>1245</v>
      </c>
      <c r="B99" s="55"/>
      <c r="C99" s="55"/>
      <c r="D99" s="55"/>
      <c r="E99" s="55"/>
    </row>
    <row r="100" spans="1:5" x14ac:dyDescent="0.25">
      <c r="B100" s="33" t="s">
        <v>397</v>
      </c>
      <c r="C100" s="34">
        <v>0.93</v>
      </c>
    </row>
    <row r="101" spans="1:5" x14ac:dyDescent="0.25">
      <c r="B101" s="33" t="s">
        <v>341</v>
      </c>
      <c r="C101" s="34">
        <v>0.86</v>
      </c>
    </row>
    <row r="102" spans="1:5" x14ac:dyDescent="0.25">
      <c r="B102" s="33" t="s">
        <v>373</v>
      </c>
      <c r="C102" s="34">
        <v>0.86</v>
      </c>
    </row>
    <row r="103" spans="1:5" x14ac:dyDescent="0.25">
      <c r="B103" s="33" t="s">
        <v>422</v>
      </c>
      <c r="C103" s="34">
        <v>0.75</v>
      </c>
    </row>
    <row r="105" spans="1:5" ht="21.95" customHeight="1" x14ac:dyDescent="0.25">
      <c r="A105" s="54" t="s">
        <v>1246</v>
      </c>
      <c r="B105" s="55"/>
      <c r="C105" s="55"/>
      <c r="D105" s="55"/>
      <c r="E105" s="55"/>
    </row>
    <row r="106" spans="1:5" x14ac:dyDescent="0.25">
      <c r="B106" s="33" t="s">
        <v>1247</v>
      </c>
      <c r="C106" s="34">
        <v>0.92</v>
      </c>
    </row>
    <row r="107" spans="1:5" x14ac:dyDescent="0.25">
      <c r="B107" s="33" t="s">
        <v>1248</v>
      </c>
      <c r="C107" s="34">
        <v>0.88</v>
      </c>
    </row>
    <row r="108" spans="1:5" x14ac:dyDescent="0.25">
      <c r="B108" s="33" t="s">
        <v>1249</v>
      </c>
      <c r="C108" s="34">
        <v>0.88</v>
      </c>
    </row>
    <row r="109" spans="1:5" x14ac:dyDescent="0.25">
      <c r="B109" s="33" t="s">
        <v>1250</v>
      </c>
      <c r="C109" s="34">
        <v>0.75</v>
      </c>
    </row>
    <row r="110" spans="1:5" x14ac:dyDescent="0.25">
      <c r="B110" s="33" t="s">
        <v>1225</v>
      </c>
      <c r="C110" s="34">
        <v>0.75</v>
      </c>
    </row>
    <row r="111" spans="1:5" x14ac:dyDescent="0.25">
      <c r="B111" s="33" t="s">
        <v>1251</v>
      </c>
      <c r="C111" s="34">
        <v>0.75</v>
      </c>
    </row>
    <row r="112" spans="1:5" x14ac:dyDescent="0.25">
      <c r="B112" s="33" t="s">
        <v>1223</v>
      </c>
      <c r="C112" s="34">
        <v>0.71</v>
      </c>
    </row>
    <row r="113" spans="2:3" x14ac:dyDescent="0.25">
      <c r="B113" s="33" t="s">
        <v>1252</v>
      </c>
      <c r="C113" s="34">
        <v>0.67</v>
      </c>
    </row>
    <row r="114" spans="2:3" x14ac:dyDescent="0.25">
      <c r="B114" s="33" t="s">
        <v>1253</v>
      </c>
      <c r="C114" s="34">
        <v>0.67</v>
      </c>
    </row>
    <row r="115" spans="2:3" x14ac:dyDescent="0.25">
      <c r="B115" s="33" t="s">
        <v>1254</v>
      </c>
      <c r="C115" s="34">
        <v>0.67</v>
      </c>
    </row>
    <row r="116" spans="2:3" x14ac:dyDescent="0.25">
      <c r="B116" s="33" t="s">
        <v>1222</v>
      </c>
      <c r="C116" s="34">
        <v>0.67</v>
      </c>
    </row>
    <row r="117" spans="2:3" x14ac:dyDescent="0.25">
      <c r="B117" s="33" t="s">
        <v>1255</v>
      </c>
      <c r="C117" s="34">
        <v>0.57999999999999996</v>
      </c>
    </row>
    <row r="118" spans="2:3" x14ac:dyDescent="0.25">
      <c r="B118" s="33" t="s">
        <v>1226</v>
      </c>
      <c r="C118" s="34">
        <v>0.54</v>
      </c>
    </row>
    <row r="119" spans="2:3" x14ac:dyDescent="0.25">
      <c r="B119" s="33" t="s">
        <v>1256</v>
      </c>
      <c r="C119" s="34">
        <v>0.5</v>
      </c>
    </row>
    <row r="120" spans="2:3" x14ac:dyDescent="0.25">
      <c r="B120" s="33" t="s">
        <v>1257</v>
      </c>
      <c r="C120" s="34">
        <v>0.42</v>
      </c>
    </row>
    <row r="121" spans="2:3" x14ac:dyDescent="0.25">
      <c r="B121" s="33" t="s">
        <v>1258</v>
      </c>
      <c r="C121" s="34">
        <v>0.42</v>
      </c>
    </row>
    <row r="122" spans="2:3" x14ac:dyDescent="0.25">
      <c r="B122" s="33" t="s">
        <v>1259</v>
      </c>
      <c r="C122" s="34">
        <v>0.38</v>
      </c>
    </row>
    <row r="123" spans="2:3" x14ac:dyDescent="0.25">
      <c r="B123" s="33" t="s">
        <v>1260</v>
      </c>
      <c r="C123" s="34">
        <v>0.33</v>
      </c>
    </row>
  </sheetData>
  <mergeCells count="16">
    <mergeCell ref="A2:E2"/>
    <mergeCell ref="A16:E16"/>
    <mergeCell ref="A99:E99"/>
    <mergeCell ref="A1:E1"/>
    <mergeCell ref="A45:E45"/>
    <mergeCell ref="A32:E32"/>
    <mergeCell ref="A93:E93"/>
    <mergeCell ref="A70:E70"/>
    <mergeCell ref="A56:E56"/>
    <mergeCell ref="A27:E27"/>
    <mergeCell ref="A21:E21"/>
    <mergeCell ref="A39:E39"/>
    <mergeCell ref="A105:E105"/>
    <mergeCell ref="A87:E87"/>
    <mergeCell ref="A62:E62"/>
    <mergeCell ref="A78:E78"/>
  </mergeCells>
  <conditionalFormatting sqref="C17:C19">
    <cfRule type="dataBar" priority="1">
      <dataBar>
        <cfvo type="num" val="0"/>
        <cfvo type="num" val="1"/>
        <color rgb="FFC98E2B"/>
      </dataBar>
    </cfRule>
  </conditionalFormatting>
  <conditionalFormatting sqref="C22:C25">
    <cfRule type="dataBar" priority="2">
      <dataBar>
        <cfvo type="num" val="0"/>
        <cfvo type="num" val="1"/>
        <color rgb="FFC98E2B"/>
      </dataBar>
    </cfRule>
  </conditionalFormatting>
  <conditionalFormatting sqref="C28:C30">
    <cfRule type="dataBar" priority="3">
      <dataBar>
        <cfvo type="num" val="0"/>
        <cfvo type="num" val="1"/>
        <color rgb="FFC98E2B"/>
      </dataBar>
    </cfRule>
  </conditionalFormatting>
  <conditionalFormatting sqref="C33:C37">
    <cfRule type="dataBar" priority="4">
      <dataBar>
        <cfvo type="num" val="0"/>
        <cfvo type="num" val="1"/>
        <color rgb="FFC98E2B"/>
      </dataBar>
    </cfRule>
  </conditionalFormatting>
  <conditionalFormatting sqref="C40:C43">
    <cfRule type="dataBar" priority="5">
      <dataBar>
        <cfvo type="num" val="0"/>
        <cfvo type="num" val="1"/>
        <color rgb="FFC98E2B"/>
      </dataBar>
    </cfRule>
  </conditionalFormatting>
  <conditionalFormatting sqref="C46:C54">
    <cfRule type="dataBar" priority="6">
      <dataBar>
        <cfvo type="num" val="0"/>
        <cfvo type="num" val="1"/>
        <color rgb="FFC98E2B"/>
      </dataBar>
    </cfRule>
  </conditionalFormatting>
  <conditionalFormatting sqref="C57:C60">
    <cfRule type="dataBar" priority="7">
      <dataBar>
        <cfvo type="num" val="0"/>
        <cfvo type="num" val="1"/>
        <color rgb="FFC98E2B"/>
      </dataBar>
    </cfRule>
  </conditionalFormatting>
  <conditionalFormatting sqref="C63:C68">
    <cfRule type="dataBar" priority="8">
      <dataBar>
        <cfvo type="num" val="0"/>
        <cfvo type="num" val="1"/>
        <color rgb="FFC98E2B"/>
      </dataBar>
    </cfRule>
  </conditionalFormatting>
  <conditionalFormatting sqref="C71:C76">
    <cfRule type="dataBar" priority="9">
      <dataBar>
        <cfvo type="num" val="0"/>
        <cfvo type="num" val="1"/>
        <color rgb="FFC98E2B"/>
      </dataBar>
    </cfRule>
  </conditionalFormatting>
  <conditionalFormatting sqref="C79:C85">
    <cfRule type="dataBar" priority="10">
      <dataBar>
        <cfvo type="num" val="0"/>
        <cfvo type="num" val="1"/>
        <color rgb="FFC98E2B"/>
      </dataBar>
    </cfRule>
  </conditionalFormatting>
  <conditionalFormatting sqref="C88:C91">
    <cfRule type="dataBar" priority="11">
      <dataBar>
        <cfvo type="num" val="0"/>
        <cfvo type="num" val="1"/>
        <color rgb="FFC98E2B"/>
      </dataBar>
    </cfRule>
  </conditionalFormatting>
  <conditionalFormatting sqref="C94:C97">
    <cfRule type="dataBar" priority="12">
      <dataBar>
        <cfvo type="num" val="0"/>
        <cfvo type="num" val="1"/>
        <color rgb="FFC98E2B"/>
      </dataBar>
    </cfRule>
  </conditionalFormatting>
  <conditionalFormatting sqref="C100:C103">
    <cfRule type="dataBar" priority="13">
      <dataBar>
        <cfvo type="num" val="0"/>
        <cfvo type="num" val="1"/>
        <color rgb="FFC98E2B"/>
      </dataBar>
    </cfRule>
  </conditionalFormatting>
  <conditionalFormatting sqref="C106:C123">
    <cfRule type="dataBar" priority="14">
      <dataBar>
        <cfvo type="num" val="0"/>
        <cfvo type="num" val="1"/>
        <color rgb="FFC98E2B"/>
      </dataBar>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98E2B"/>
  </sheetPr>
  <dimension ref="A1:J60"/>
  <sheetViews>
    <sheetView showGridLines="0" workbookViewId="0">
      <pane xSplit="2" ySplit="3" topLeftCell="C4" activePane="bottomRight" state="frozen"/>
      <selection pane="topRight"/>
      <selection pane="bottomLeft"/>
      <selection pane="bottomRight"/>
    </sheetView>
  </sheetViews>
  <sheetFormatPr defaultRowHeight="15" x14ac:dyDescent="0.25"/>
  <cols>
    <col min="1" max="1" width="7" customWidth="1"/>
    <col min="2" max="2" width="24" customWidth="1"/>
    <col min="3" max="3" width="20" customWidth="1"/>
    <col min="4" max="6" width="11" customWidth="1"/>
    <col min="7" max="7" width="16" customWidth="1"/>
    <col min="8" max="8" width="50" customWidth="1"/>
    <col min="9" max="9" width="46" customWidth="1"/>
    <col min="10" max="10" width="40" customWidth="1"/>
  </cols>
  <sheetData>
    <row r="1" spans="1:10" ht="33.950000000000003" customHeight="1" x14ac:dyDescent="0.25">
      <c r="A1" s="59" t="s">
        <v>1261</v>
      </c>
      <c r="B1" s="50"/>
      <c r="C1" s="50"/>
      <c r="D1" s="50"/>
      <c r="E1" s="50"/>
      <c r="F1" s="50"/>
      <c r="G1" s="50"/>
      <c r="H1" s="50"/>
      <c r="I1" s="50"/>
      <c r="J1" s="50"/>
    </row>
    <row r="2" spans="1:10" ht="30" customHeight="1" x14ac:dyDescent="0.25">
      <c r="A2" s="49" t="s">
        <v>1262</v>
      </c>
      <c r="B2" s="50"/>
      <c r="C2" s="50"/>
      <c r="D2" s="50"/>
      <c r="E2" s="50"/>
      <c r="F2" s="50"/>
      <c r="G2" s="50"/>
      <c r="H2" s="50"/>
      <c r="I2" s="50"/>
      <c r="J2" s="50"/>
    </row>
    <row r="3" spans="1:10" ht="21.95" customHeight="1" x14ac:dyDescent="0.25">
      <c r="A3" s="4"/>
      <c r="B3" s="4" t="s">
        <v>1263</v>
      </c>
      <c r="C3" s="4" t="s">
        <v>604</v>
      </c>
      <c r="D3" s="4" t="s">
        <v>1264</v>
      </c>
      <c r="E3" s="4" t="s">
        <v>1265</v>
      </c>
      <c r="F3" s="4" t="s">
        <v>742</v>
      </c>
      <c r="G3" s="4" t="s">
        <v>17</v>
      </c>
      <c r="H3" s="4" t="s">
        <v>1154</v>
      </c>
      <c r="I3" s="4" t="s">
        <v>1266</v>
      </c>
      <c r="J3" s="4" t="s">
        <v>1267</v>
      </c>
    </row>
    <row r="4" spans="1:10" ht="93.95" customHeight="1" x14ac:dyDescent="0.25">
      <c r="A4" s="6"/>
      <c r="B4" s="35" t="s">
        <v>1268</v>
      </c>
      <c r="C4" s="6" t="s">
        <v>608</v>
      </c>
      <c r="D4" s="7" t="s">
        <v>5</v>
      </c>
      <c r="E4" s="36">
        <v>3.0000000000000001E-3</v>
      </c>
      <c r="F4" s="37" t="s">
        <v>28</v>
      </c>
      <c r="G4" s="6" t="s">
        <v>23</v>
      </c>
      <c r="H4" s="6" t="s">
        <v>1269</v>
      </c>
      <c r="I4" s="6" t="s">
        <v>1270</v>
      </c>
      <c r="J4" s="6"/>
    </row>
    <row r="5" spans="1:10" ht="63.95" customHeight="1" x14ac:dyDescent="0.25">
      <c r="A5" s="6"/>
      <c r="B5" s="35" t="s">
        <v>1271</v>
      </c>
      <c r="C5" s="6" t="s">
        <v>626</v>
      </c>
      <c r="D5" s="7" t="s">
        <v>5</v>
      </c>
      <c r="E5" s="36">
        <v>6.0000000000000001E-3</v>
      </c>
      <c r="F5" s="37" t="s">
        <v>28</v>
      </c>
      <c r="G5" s="6" t="s">
        <v>23</v>
      </c>
      <c r="H5" s="6" t="s">
        <v>1272</v>
      </c>
      <c r="I5" s="6" t="s">
        <v>1273</v>
      </c>
      <c r="J5" s="6"/>
    </row>
    <row r="6" spans="1:10" ht="78.95" customHeight="1" x14ac:dyDescent="0.25">
      <c r="A6" s="6"/>
      <c r="B6" s="35" t="s">
        <v>1274</v>
      </c>
      <c r="C6" s="6" t="s">
        <v>644</v>
      </c>
      <c r="D6" s="7" t="s">
        <v>5</v>
      </c>
      <c r="E6" s="36">
        <v>6.0000000000000001E-3</v>
      </c>
      <c r="F6" s="37" t="s">
        <v>28</v>
      </c>
      <c r="G6" s="6" t="s">
        <v>23</v>
      </c>
      <c r="H6" s="6" t="s">
        <v>1275</v>
      </c>
      <c r="I6" s="6" t="s">
        <v>1276</v>
      </c>
      <c r="J6" s="6"/>
    </row>
    <row r="7" spans="1:10" ht="78.95" customHeight="1" x14ac:dyDescent="0.25">
      <c r="A7" s="6"/>
      <c r="B7" s="35" t="s">
        <v>1277</v>
      </c>
      <c r="C7" s="6" t="s">
        <v>1278</v>
      </c>
      <c r="D7" s="7" t="s">
        <v>5</v>
      </c>
      <c r="E7" s="36">
        <v>8.9999999999999993E-3</v>
      </c>
      <c r="F7" s="37" t="s">
        <v>28</v>
      </c>
      <c r="G7" s="6" t="s">
        <v>23</v>
      </c>
      <c r="H7" s="6" t="s">
        <v>1279</v>
      </c>
      <c r="I7" s="6" t="s">
        <v>1280</v>
      </c>
      <c r="J7" s="6"/>
    </row>
    <row r="8" spans="1:10" ht="63.95" customHeight="1" x14ac:dyDescent="0.25">
      <c r="A8" s="6"/>
      <c r="B8" s="35" t="s">
        <v>1281</v>
      </c>
      <c r="C8" s="6" t="s">
        <v>638</v>
      </c>
      <c r="D8" s="7" t="s">
        <v>5</v>
      </c>
      <c r="E8" s="36">
        <v>1.4E-2</v>
      </c>
      <c r="F8" s="37" t="s">
        <v>28</v>
      </c>
      <c r="G8" s="6" t="s">
        <v>23</v>
      </c>
      <c r="H8" s="6" t="s">
        <v>1282</v>
      </c>
      <c r="I8" s="6" t="s">
        <v>1283</v>
      </c>
      <c r="J8" s="6"/>
    </row>
    <row r="9" spans="1:10" ht="56.1" customHeight="1" x14ac:dyDescent="0.25">
      <c r="A9" s="6"/>
      <c r="B9" s="35" t="s">
        <v>1284</v>
      </c>
      <c r="C9" s="6" t="s">
        <v>620</v>
      </c>
      <c r="D9" s="7" t="s">
        <v>5</v>
      </c>
      <c r="E9" s="36">
        <v>2.8000000000000001E-2</v>
      </c>
      <c r="F9" s="37" t="s">
        <v>28</v>
      </c>
      <c r="G9" s="6" t="s">
        <v>23</v>
      </c>
      <c r="H9" s="6" t="s">
        <v>1285</v>
      </c>
      <c r="I9" s="6" t="s">
        <v>1286</v>
      </c>
      <c r="J9" s="6"/>
    </row>
    <row r="10" spans="1:10" ht="63.95" customHeight="1" x14ac:dyDescent="0.25">
      <c r="A10" s="6"/>
      <c r="B10" s="35" t="s">
        <v>1287</v>
      </c>
      <c r="C10" s="6" t="s">
        <v>654</v>
      </c>
      <c r="D10" s="7" t="s">
        <v>5</v>
      </c>
      <c r="E10" s="36">
        <v>8.9999999999999993E-3</v>
      </c>
      <c r="F10" s="37" t="s">
        <v>28</v>
      </c>
      <c r="G10" s="6" t="s">
        <v>30</v>
      </c>
      <c r="H10" s="6" t="s">
        <v>1288</v>
      </c>
      <c r="I10" s="6" t="s">
        <v>1289</v>
      </c>
      <c r="J10" s="6" t="s">
        <v>1290</v>
      </c>
    </row>
    <row r="11" spans="1:10" ht="93.95" customHeight="1" x14ac:dyDescent="0.25">
      <c r="A11" s="6"/>
      <c r="B11" s="35" t="s">
        <v>1291</v>
      </c>
      <c r="C11" s="6" t="s">
        <v>608</v>
      </c>
      <c r="D11" s="7" t="s">
        <v>605</v>
      </c>
      <c r="E11" s="36">
        <v>0.106</v>
      </c>
      <c r="F11" s="37" t="s">
        <v>28</v>
      </c>
      <c r="G11" s="6" t="s">
        <v>30</v>
      </c>
      <c r="H11" s="6" t="s">
        <v>1292</v>
      </c>
      <c r="I11" s="6" t="s">
        <v>1293</v>
      </c>
      <c r="J11" s="6"/>
    </row>
    <row r="12" spans="1:10" ht="63.95" customHeight="1" x14ac:dyDescent="0.25">
      <c r="A12" s="6"/>
      <c r="B12" s="35" t="s">
        <v>1294</v>
      </c>
      <c r="C12" s="6" t="s">
        <v>1295</v>
      </c>
      <c r="D12" s="7" t="s">
        <v>5</v>
      </c>
      <c r="E12" s="36"/>
      <c r="F12" s="37" t="s">
        <v>28</v>
      </c>
      <c r="G12" s="6" t="s">
        <v>37</v>
      </c>
      <c r="H12" s="6" t="s">
        <v>1296</v>
      </c>
      <c r="I12" s="6"/>
      <c r="J12" s="6" t="s">
        <v>1297</v>
      </c>
    </row>
    <row r="13" spans="1:10" ht="56.1" customHeight="1" x14ac:dyDescent="0.25">
      <c r="A13" s="6"/>
      <c r="B13" s="35" t="s">
        <v>1298</v>
      </c>
      <c r="C13" s="6" t="s">
        <v>654</v>
      </c>
      <c r="D13" s="7" t="s">
        <v>5</v>
      </c>
      <c r="E13" s="36">
        <v>3.0000000000000001E-3</v>
      </c>
      <c r="F13" s="37" t="s">
        <v>28</v>
      </c>
      <c r="G13" s="6" t="s">
        <v>37</v>
      </c>
      <c r="H13" s="6" t="s">
        <v>1299</v>
      </c>
      <c r="I13" s="6" t="s">
        <v>1300</v>
      </c>
      <c r="J13" s="6"/>
    </row>
    <row r="14" spans="1:10" ht="108.95" customHeight="1" x14ac:dyDescent="0.25">
      <c r="A14" s="6"/>
      <c r="B14" s="35" t="s">
        <v>1202</v>
      </c>
      <c r="C14" s="6" t="s">
        <v>1301</v>
      </c>
      <c r="D14" s="7" t="s">
        <v>5</v>
      </c>
      <c r="E14" s="36">
        <v>6.0000000000000001E-3</v>
      </c>
      <c r="F14" s="37">
        <v>0.24</v>
      </c>
      <c r="G14" s="6" t="s">
        <v>37</v>
      </c>
      <c r="H14" s="6" t="s">
        <v>1302</v>
      </c>
      <c r="I14" s="6" t="s">
        <v>1303</v>
      </c>
      <c r="J14" s="6" t="s">
        <v>1304</v>
      </c>
    </row>
    <row r="15" spans="1:10" ht="93.95" customHeight="1" x14ac:dyDescent="0.25">
      <c r="A15" s="6"/>
      <c r="B15" s="35" t="s">
        <v>1305</v>
      </c>
      <c r="C15" s="6" t="s">
        <v>654</v>
      </c>
      <c r="D15" s="7" t="s">
        <v>5</v>
      </c>
      <c r="E15" s="36">
        <v>6.0000000000000001E-3</v>
      </c>
      <c r="F15" s="37" t="s">
        <v>28</v>
      </c>
      <c r="G15" s="6" t="s">
        <v>37</v>
      </c>
      <c r="H15" s="6" t="s">
        <v>1306</v>
      </c>
      <c r="I15" s="6" t="s">
        <v>1307</v>
      </c>
      <c r="J15" s="6" t="s">
        <v>1308</v>
      </c>
    </row>
    <row r="16" spans="1:10" ht="93.95" customHeight="1" x14ac:dyDescent="0.25">
      <c r="A16" s="6"/>
      <c r="B16" s="35" t="s">
        <v>1309</v>
      </c>
      <c r="C16" s="6" t="s">
        <v>632</v>
      </c>
      <c r="D16" s="7" t="s">
        <v>5</v>
      </c>
      <c r="E16" s="36">
        <v>1.4E-2</v>
      </c>
      <c r="F16" s="37">
        <v>0.03</v>
      </c>
      <c r="G16" s="6" t="s">
        <v>37</v>
      </c>
      <c r="H16" s="6" t="s">
        <v>1310</v>
      </c>
      <c r="I16" s="6" t="s">
        <v>1311</v>
      </c>
      <c r="J16" s="6" t="s">
        <v>1312</v>
      </c>
    </row>
    <row r="17" spans="1:10" ht="78.95" customHeight="1" x14ac:dyDescent="0.25">
      <c r="A17" s="6"/>
      <c r="B17" s="35" t="s">
        <v>1201</v>
      </c>
      <c r="C17" s="6" t="s">
        <v>608</v>
      </c>
      <c r="D17" s="7" t="s">
        <v>5</v>
      </c>
      <c r="E17" s="36">
        <v>2.3E-2</v>
      </c>
      <c r="F17" s="37">
        <v>0.26</v>
      </c>
      <c r="G17" s="6" t="s">
        <v>37</v>
      </c>
      <c r="H17" s="6" t="s">
        <v>1313</v>
      </c>
      <c r="I17" s="6" t="s">
        <v>1314</v>
      </c>
      <c r="J17" s="6" t="s">
        <v>1315</v>
      </c>
    </row>
    <row r="18" spans="1:10" ht="93.95" customHeight="1" x14ac:dyDescent="0.25">
      <c r="A18" s="6"/>
      <c r="B18" s="35" t="s">
        <v>1316</v>
      </c>
      <c r="C18" s="6" t="s">
        <v>620</v>
      </c>
      <c r="D18" s="7" t="s">
        <v>605</v>
      </c>
      <c r="E18" s="36">
        <v>0.40799999999999997</v>
      </c>
      <c r="F18" s="37">
        <v>0.13</v>
      </c>
      <c r="G18" s="6" t="s">
        <v>37</v>
      </c>
      <c r="H18" s="6" t="s">
        <v>1317</v>
      </c>
      <c r="I18" s="6" t="s">
        <v>1318</v>
      </c>
      <c r="J18" s="6" t="s">
        <v>1319</v>
      </c>
    </row>
    <row r="19" spans="1:10" ht="63.95" customHeight="1" x14ac:dyDescent="0.25">
      <c r="A19" s="6"/>
      <c r="B19" s="35" t="s">
        <v>1232</v>
      </c>
      <c r="C19" s="6" t="s">
        <v>1320</v>
      </c>
      <c r="D19" s="7" t="s">
        <v>5</v>
      </c>
      <c r="E19" s="36">
        <v>3.0000000000000001E-3</v>
      </c>
      <c r="F19" s="37">
        <v>0.22</v>
      </c>
      <c r="G19" s="6" t="s">
        <v>44</v>
      </c>
      <c r="H19" s="6" t="s">
        <v>1321</v>
      </c>
      <c r="I19" s="6" t="s">
        <v>1322</v>
      </c>
      <c r="J19" s="6" t="s">
        <v>1323</v>
      </c>
    </row>
    <row r="20" spans="1:10" ht="63.95" customHeight="1" x14ac:dyDescent="0.25">
      <c r="A20" s="6"/>
      <c r="B20" s="35" t="s">
        <v>1324</v>
      </c>
      <c r="C20" s="6" t="s">
        <v>626</v>
      </c>
      <c r="D20" s="7" t="s">
        <v>5</v>
      </c>
      <c r="E20" s="36">
        <v>3.0000000000000001E-3</v>
      </c>
      <c r="F20" s="37" t="s">
        <v>28</v>
      </c>
      <c r="G20" s="6" t="s">
        <v>44</v>
      </c>
      <c r="H20" s="6" t="s">
        <v>1325</v>
      </c>
      <c r="I20" s="6" t="s">
        <v>1326</v>
      </c>
      <c r="J20" s="6" t="s">
        <v>1327</v>
      </c>
    </row>
    <row r="21" spans="1:10" ht="63.95" customHeight="1" x14ac:dyDescent="0.25">
      <c r="A21" s="6"/>
      <c r="B21" s="35" t="s">
        <v>1328</v>
      </c>
      <c r="C21" s="6" t="s">
        <v>638</v>
      </c>
      <c r="D21" s="7" t="s">
        <v>5</v>
      </c>
      <c r="E21" s="36">
        <v>5.0000000000000001E-3</v>
      </c>
      <c r="F21" s="37" t="s">
        <v>28</v>
      </c>
      <c r="G21" s="6" t="s">
        <v>44</v>
      </c>
      <c r="H21" s="6" t="s">
        <v>1329</v>
      </c>
      <c r="I21" s="6" t="s">
        <v>1330</v>
      </c>
      <c r="J21" s="6"/>
    </row>
    <row r="22" spans="1:10" ht="56.1" customHeight="1" x14ac:dyDescent="0.25">
      <c r="A22" s="6"/>
      <c r="B22" s="35" t="s">
        <v>1230</v>
      </c>
      <c r="C22" s="6" t="s">
        <v>1320</v>
      </c>
      <c r="D22" s="7" t="s">
        <v>5</v>
      </c>
      <c r="E22" s="36">
        <v>6.0000000000000001E-3</v>
      </c>
      <c r="F22" s="37">
        <v>0.26</v>
      </c>
      <c r="G22" s="6" t="s">
        <v>44</v>
      </c>
      <c r="H22" s="6" t="s">
        <v>1331</v>
      </c>
      <c r="I22" s="6" t="s">
        <v>1332</v>
      </c>
      <c r="J22" s="6" t="s">
        <v>1333</v>
      </c>
    </row>
    <row r="23" spans="1:10" ht="78.95" customHeight="1" x14ac:dyDescent="0.25">
      <c r="A23" s="6"/>
      <c r="B23" s="35" t="s">
        <v>1334</v>
      </c>
      <c r="C23" s="6" t="s">
        <v>1278</v>
      </c>
      <c r="D23" s="7" t="s">
        <v>5</v>
      </c>
      <c r="E23" s="36">
        <v>6.0000000000000001E-3</v>
      </c>
      <c r="F23" s="37" t="s">
        <v>28</v>
      </c>
      <c r="G23" s="6" t="s">
        <v>44</v>
      </c>
      <c r="H23" s="6" t="s">
        <v>1335</v>
      </c>
      <c r="I23" s="6" t="s">
        <v>1336</v>
      </c>
      <c r="J23" s="6" t="s">
        <v>1337</v>
      </c>
    </row>
    <row r="24" spans="1:10" ht="108.95" customHeight="1" x14ac:dyDescent="0.25">
      <c r="A24" s="6"/>
      <c r="B24" s="35" t="s">
        <v>1338</v>
      </c>
      <c r="C24" s="6" t="s">
        <v>620</v>
      </c>
      <c r="D24" s="7" t="s">
        <v>5</v>
      </c>
      <c r="E24" s="36">
        <v>8.0000000000000002E-3</v>
      </c>
      <c r="F24" s="37">
        <v>0.04</v>
      </c>
      <c r="G24" s="6" t="s">
        <v>44</v>
      </c>
      <c r="H24" s="6" t="s">
        <v>1339</v>
      </c>
      <c r="I24" s="6" t="s">
        <v>1340</v>
      </c>
      <c r="J24" s="6" t="s">
        <v>1341</v>
      </c>
    </row>
    <row r="25" spans="1:10" ht="78.95" customHeight="1" x14ac:dyDescent="0.25">
      <c r="A25" s="6"/>
      <c r="B25" s="35" t="s">
        <v>1228</v>
      </c>
      <c r="C25" s="6" t="s">
        <v>1320</v>
      </c>
      <c r="D25" s="7" t="s">
        <v>5</v>
      </c>
      <c r="E25" s="36">
        <v>1.0999999999999999E-2</v>
      </c>
      <c r="F25" s="37">
        <v>0.43</v>
      </c>
      <c r="G25" s="6" t="s">
        <v>44</v>
      </c>
      <c r="H25" s="6" t="s">
        <v>1342</v>
      </c>
      <c r="I25" s="6" t="s">
        <v>1343</v>
      </c>
      <c r="J25" s="6" t="s">
        <v>1341</v>
      </c>
    </row>
    <row r="26" spans="1:10" ht="108.95" customHeight="1" x14ac:dyDescent="0.25">
      <c r="A26" s="6"/>
      <c r="B26" s="35" t="s">
        <v>1241</v>
      </c>
      <c r="C26" s="6" t="s">
        <v>1278</v>
      </c>
      <c r="D26" s="7" t="s">
        <v>5</v>
      </c>
      <c r="E26" s="36">
        <v>2.8000000000000001E-2</v>
      </c>
      <c r="F26" s="37">
        <v>7.0000000000000007E-2</v>
      </c>
      <c r="G26" s="6" t="s">
        <v>50</v>
      </c>
      <c r="H26" s="6" t="s">
        <v>1344</v>
      </c>
      <c r="I26" s="6" t="s">
        <v>1345</v>
      </c>
      <c r="J26" s="6" t="s">
        <v>1346</v>
      </c>
    </row>
    <row r="27" spans="1:10" ht="93.95" customHeight="1" x14ac:dyDescent="0.25">
      <c r="A27" s="6"/>
      <c r="B27" s="35" t="s">
        <v>1200</v>
      </c>
      <c r="C27" s="6" t="s">
        <v>608</v>
      </c>
      <c r="D27" s="7" t="s">
        <v>5</v>
      </c>
      <c r="E27" s="36">
        <v>3.0000000000000001E-3</v>
      </c>
      <c r="F27" s="37">
        <v>0.39</v>
      </c>
      <c r="G27" s="6" t="s">
        <v>55</v>
      </c>
      <c r="H27" s="6" t="s">
        <v>1347</v>
      </c>
      <c r="I27" s="6" t="s">
        <v>1348</v>
      </c>
      <c r="J27" s="6" t="s">
        <v>1349</v>
      </c>
    </row>
    <row r="28" spans="1:10" ht="63.95" customHeight="1" x14ac:dyDescent="0.25">
      <c r="A28" s="6"/>
      <c r="B28" s="35" t="s">
        <v>1350</v>
      </c>
      <c r="C28" s="6" t="s">
        <v>620</v>
      </c>
      <c r="D28" s="7" t="s">
        <v>605</v>
      </c>
      <c r="E28" s="36">
        <v>0.41799999999999998</v>
      </c>
      <c r="F28" s="37">
        <v>0.01</v>
      </c>
      <c r="G28" s="6" t="s">
        <v>55</v>
      </c>
      <c r="H28" s="6" t="s">
        <v>1351</v>
      </c>
      <c r="I28" s="6" t="s">
        <v>1352</v>
      </c>
      <c r="J28" s="6" t="s">
        <v>1353</v>
      </c>
    </row>
    <row r="29" spans="1:10" ht="56.1" customHeight="1" x14ac:dyDescent="0.25">
      <c r="A29" s="6"/>
      <c r="B29" s="35" t="s">
        <v>1354</v>
      </c>
      <c r="C29" s="6" t="s">
        <v>1355</v>
      </c>
      <c r="D29" s="7" t="s">
        <v>605</v>
      </c>
      <c r="E29" s="36">
        <v>0.52900000000000003</v>
      </c>
      <c r="F29" s="37" t="s">
        <v>28</v>
      </c>
      <c r="G29" s="6" t="s">
        <v>55</v>
      </c>
      <c r="H29" s="6" t="s">
        <v>1356</v>
      </c>
      <c r="I29" s="6" t="s">
        <v>1357</v>
      </c>
      <c r="J29" s="6" t="s">
        <v>1358</v>
      </c>
    </row>
    <row r="30" spans="1:10" ht="123.95" customHeight="1" x14ac:dyDescent="0.25">
      <c r="A30" s="6"/>
      <c r="B30" s="35" t="s">
        <v>797</v>
      </c>
      <c r="C30" s="6" t="s">
        <v>614</v>
      </c>
      <c r="D30" s="7" t="s">
        <v>605</v>
      </c>
      <c r="E30" s="36">
        <v>0.95199999999999996</v>
      </c>
      <c r="F30" s="37">
        <v>1</v>
      </c>
      <c r="G30" s="6" t="s">
        <v>55</v>
      </c>
      <c r="H30" s="6" t="s">
        <v>1359</v>
      </c>
      <c r="I30" s="6" t="s">
        <v>1360</v>
      </c>
      <c r="J30" s="6" t="s">
        <v>1361</v>
      </c>
    </row>
    <row r="31" spans="1:10" ht="93.95" customHeight="1" x14ac:dyDescent="0.25">
      <c r="A31" s="6"/>
      <c r="B31" s="35" t="s">
        <v>1362</v>
      </c>
      <c r="C31" s="6" t="s">
        <v>1363</v>
      </c>
      <c r="D31" s="7" t="s">
        <v>5</v>
      </c>
      <c r="E31" s="36">
        <v>3.0000000000000001E-3</v>
      </c>
      <c r="F31" s="37">
        <v>0.04</v>
      </c>
      <c r="G31" s="6" t="s">
        <v>61</v>
      </c>
      <c r="H31" s="6" t="s">
        <v>1364</v>
      </c>
      <c r="I31" s="6" t="s">
        <v>1365</v>
      </c>
      <c r="J31" s="6" t="s">
        <v>1366</v>
      </c>
    </row>
    <row r="32" spans="1:10" ht="153.94999999999999" customHeight="1" x14ac:dyDescent="0.25">
      <c r="A32" s="6"/>
      <c r="B32" s="35" t="s">
        <v>1367</v>
      </c>
      <c r="C32" s="6" t="s">
        <v>654</v>
      </c>
      <c r="D32" s="7" t="s">
        <v>5</v>
      </c>
      <c r="E32" s="36">
        <v>1.4E-2</v>
      </c>
      <c r="F32" s="37">
        <v>0.02</v>
      </c>
      <c r="G32" s="6" t="s">
        <v>61</v>
      </c>
      <c r="H32" s="6" t="s">
        <v>1368</v>
      </c>
      <c r="I32" s="6" t="s">
        <v>1369</v>
      </c>
      <c r="J32" s="6" t="s">
        <v>1370</v>
      </c>
    </row>
    <row r="33" spans="1:10" ht="93.95" customHeight="1" x14ac:dyDescent="0.25">
      <c r="A33" s="6"/>
      <c r="B33" s="35" t="s">
        <v>1203</v>
      </c>
      <c r="C33" s="6" t="s">
        <v>1301</v>
      </c>
      <c r="D33" s="7" t="s">
        <v>605</v>
      </c>
      <c r="E33" s="36">
        <v>0.10100000000000001</v>
      </c>
      <c r="F33" s="37">
        <v>0.06</v>
      </c>
      <c r="G33" s="6" t="s">
        <v>61</v>
      </c>
      <c r="H33" s="6" t="s">
        <v>1371</v>
      </c>
      <c r="I33" s="6" t="s">
        <v>1372</v>
      </c>
      <c r="J33" s="6" t="s">
        <v>1373</v>
      </c>
    </row>
    <row r="34" spans="1:10" ht="56.1" customHeight="1" x14ac:dyDescent="0.25">
      <c r="A34" s="6"/>
      <c r="B34" s="35" t="s">
        <v>1229</v>
      </c>
      <c r="C34" s="6" t="s">
        <v>1320</v>
      </c>
      <c r="D34" s="7" t="s">
        <v>605</v>
      </c>
      <c r="E34" s="36">
        <v>0.106</v>
      </c>
      <c r="F34" s="37">
        <v>0.33</v>
      </c>
      <c r="G34" s="6" t="s">
        <v>61</v>
      </c>
      <c r="H34" s="6" t="s">
        <v>1374</v>
      </c>
      <c r="I34" s="6" t="s">
        <v>1375</v>
      </c>
      <c r="J34" s="6" t="s">
        <v>1376</v>
      </c>
    </row>
    <row r="35" spans="1:10" ht="56.1" customHeight="1" x14ac:dyDescent="0.25">
      <c r="A35" s="6"/>
      <c r="B35" s="35" t="s">
        <v>1231</v>
      </c>
      <c r="C35" s="6" t="s">
        <v>1377</v>
      </c>
      <c r="D35" s="7" t="s">
        <v>605</v>
      </c>
      <c r="E35" s="36">
        <v>0.106</v>
      </c>
      <c r="F35" s="37">
        <v>0.25</v>
      </c>
      <c r="G35" s="6" t="s">
        <v>61</v>
      </c>
      <c r="H35" s="6" t="s">
        <v>1378</v>
      </c>
      <c r="I35" s="6" t="s">
        <v>1379</v>
      </c>
      <c r="J35" s="6" t="s">
        <v>1376</v>
      </c>
    </row>
    <row r="36" spans="1:10" ht="108.95" customHeight="1" x14ac:dyDescent="0.25">
      <c r="A36" s="6"/>
      <c r="B36" s="35" t="s">
        <v>1196</v>
      </c>
      <c r="C36" s="6" t="s">
        <v>626</v>
      </c>
      <c r="D36" s="7" t="s">
        <v>605</v>
      </c>
      <c r="E36" s="36">
        <v>0.20899999999999999</v>
      </c>
      <c r="F36" s="37">
        <v>0.8</v>
      </c>
      <c r="G36" s="6" t="s">
        <v>61</v>
      </c>
      <c r="H36" s="6" t="s">
        <v>1380</v>
      </c>
      <c r="I36" s="6" t="s">
        <v>1381</v>
      </c>
      <c r="J36" s="6" t="s">
        <v>1382</v>
      </c>
    </row>
    <row r="37" spans="1:10" ht="63.95" customHeight="1" x14ac:dyDescent="0.25">
      <c r="A37" s="6"/>
      <c r="B37" s="35" t="s">
        <v>1236</v>
      </c>
      <c r="C37" s="6" t="s">
        <v>1355</v>
      </c>
      <c r="D37" s="7" t="s">
        <v>605</v>
      </c>
      <c r="E37" s="36">
        <v>0.21199999999999999</v>
      </c>
      <c r="F37" s="37">
        <v>0.21</v>
      </c>
      <c r="G37" s="6" t="s">
        <v>61</v>
      </c>
      <c r="H37" s="6" t="s">
        <v>1383</v>
      </c>
      <c r="I37" s="6" t="s">
        <v>1384</v>
      </c>
      <c r="J37" s="6" t="s">
        <v>1385</v>
      </c>
    </row>
    <row r="38" spans="1:10" ht="56.1" customHeight="1" x14ac:dyDescent="0.25">
      <c r="A38" s="6"/>
      <c r="B38" s="35" t="s">
        <v>1386</v>
      </c>
      <c r="C38" s="6" t="s">
        <v>1355</v>
      </c>
      <c r="D38" s="7" t="s">
        <v>605</v>
      </c>
      <c r="E38" s="36">
        <v>0.317</v>
      </c>
      <c r="F38" s="37" t="s">
        <v>28</v>
      </c>
      <c r="G38" s="6" t="s">
        <v>61</v>
      </c>
      <c r="H38" s="6" t="s">
        <v>1387</v>
      </c>
      <c r="I38" s="6" t="s">
        <v>1388</v>
      </c>
      <c r="J38" s="6" t="s">
        <v>1389</v>
      </c>
    </row>
    <row r="39" spans="1:10" ht="56.1" customHeight="1" x14ac:dyDescent="0.25">
      <c r="A39" s="6"/>
      <c r="B39" s="35" t="s">
        <v>1233</v>
      </c>
      <c r="C39" s="6" t="s">
        <v>1320</v>
      </c>
      <c r="D39" s="7" t="s">
        <v>605</v>
      </c>
      <c r="E39" s="36">
        <v>0.63500000000000001</v>
      </c>
      <c r="F39" s="37">
        <v>0.12</v>
      </c>
      <c r="G39" s="6" t="s">
        <v>61</v>
      </c>
      <c r="H39" s="6" t="s">
        <v>1390</v>
      </c>
      <c r="I39" s="6" t="s">
        <v>1391</v>
      </c>
      <c r="J39" s="6" t="s">
        <v>1392</v>
      </c>
    </row>
    <row r="40" spans="1:10" ht="108.95" customHeight="1" x14ac:dyDescent="0.25">
      <c r="A40" s="6"/>
      <c r="B40" s="35" t="s">
        <v>1393</v>
      </c>
      <c r="C40" s="6" t="s">
        <v>1355</v>
      </c>
      <c r="D40" s="7" t="s">
        <v>703</v>
      </c>
      <c r="E40" s="36">
        <v>14.9</v>
      </c>
      <c r="F40" s="37">
        <v>0.01</v>
      </c>
      <c r="G40" s="6" t="s">
        <v>61</v>
      </c>
      <c r="H40" s="6" t="s">
        <v>1394</v>
      </c>
      <c r="I40" s="6" t="s">
        <v>1395</v>
      </c>
      <c r="J40" s="6"/>
    </row>
    <row r="41" spans="1:10" ht="56.1" customHeight="1" x14ac:dyDescent="0.25">
      <c r="A41" s="6"/>
      <c r="B41" s="35" t="s">
        <v>1237</v>
      </c>
      <c r="C41" s="6" t="s">
        <v>1355</v>
      </c>
      <c r="D41" s="7" t="s">
        <v>605</v>
      </c>
      <c r="E41" s="36">
        <v>3.0000000000000001E-3</v>
      </c>
      <c r="F41" s="37">
        <v>0.08</v>
      </c>
      <c r="G41" s="6" t="s">
        <v>67</v>
      </c>
      <c r="H41" s="6" t="s">
        <v>1396</v>
      </c>
      <c r="I41" s="6" t="s">
        <v>1397</v>
      </c>
      <c r="J41" s="6" t="s">
        <v>1398</v>
      </c>
    </row>
    <row r="42" spans="1:10" ht="123.95" customHeight="1" x14ac:dyDescent="0.25">
      <c r="A42" s="6"/>
      <c r="B42" s="35" t="s">
        <v>1399</v>
      </c>
      <c r="C42" s="6" t="s">
        <v>1278</v>
      </c>
      <c r="D42" s="7" t="s">
        <v>5</v>
      </c>
      <c r="E42" s="36">
        <v>6.0000000000000001E-3</v>
      </c>
      <c r="F42" s="37" t="s">
        <v>28</v>
      </c>
      <c r="G42" s="6" t="s">
        <v>67</v>
      </c>
      <c r="H42" s="6" t="s">
        <v>1400</v>
      </c>
      <c r="I42" s="6" t="s">
        <v>1401</v>
      </c>
      <c r="J42" s="6" t="s">
        <v>1333</v>
      </c>
    </row>
    <row r="43" spans="1:10" ht="78.95" customHeight="1" x14ac:dyDescent="0.25">
      <c r="A43" s="6"/>
      <c r="B43" s="35" t="s">
        <v>1402</v>
      </c>
      <c r="C43" s="6" t="s">
        <v>632</v>
      </c>
      <c r="D43" s="7" t="s">
        <v>605</v>
      </c>
      <c r="E43" s="36">
        <v>0.104</v>
      </c>
      <c r="F43" s="37">
        <v>0.03</v>
      </c>
      <c r="G43" s="6" t="s">
        <v>67</v>
      </c>
      <c r="H43" s="6" t="s">
        <v>1403</v>
      </c>
      <c r="I43" s="6" t="s">
        <v>1404</v>
      </c>
      <c r="J43" s="6" t="s">
        <v>1405</v>
      </c>
    </row>
    <row r="44" spans="1:10" ht="56.1" customHeight="1" x14ac:dyDescent="0.25">
      <c r="A44" s="6"/>
      <c r="B44" s="35" t="s">
        <v>1238</v>
      </c>
      <c r="C44" s="6" t="s">
        <v>1355</v>
      </c>
      <c r="D44" s="7" t="s">
        <v>605</v>
      </c>
      <c r="E44" s="36">
        <v>0.317</v>
      </c>
      <c r="F44" s="37">
        <v>7.0000000000000007E-2</v>
      </c>
      <c r="G44" s="6" t="s">
        <v>67</v>
      </c>
      <c r="H44" s="6" t="s">
        <v>1406</v>
      </c>
      <c r="I44" s="6" t="s">
        <v>1407</v>
      </c>
      <c r="J44" s="6" t="s">
        <v>1408</v>
      </c>
    </row>
    <row r="45" spans="1:10" ht="123.95" customHeight="1" x14ac:dyDescent="0.25">
      <c r="A45" s="6"/>
      <c r="B45" s="35" t="s">
        <v>1239</v>
      </c>
      <c r="C45" s="6" t="s">
        <v>1355</v>
      </c>
      <c r="D45" s="7" t="s">
        <v>605</v>
      </c>
      <c r="E45" s="36">
        <v>0.73</v>
      </c>
      <c r="F45" s="37">
        <v>7.0000000000000007E-2</v>
      </c>
      <c r="G45" s="6" t="s">
        <v>67</v>
      </c>
      <c r="H45" s="6" t="s">
        <v>1409</v>
      </c>
      <c r="I45" s="6" t="s">
        <v>1410</v>
      </c>
      <c r="J45" s="6" t="s">
        <v>1411</v>
      </c>
    </row>
    <row r="46" spans="1:10" ht="153.94999999999999" customHeight="1" x14ac:dyDescent="0.25">
      <c r="A46" s="6"/>
      <c r="B46" s="35" t="s">
        <v>1197</v>
      </c>
      <c r="C46" s="6" t="s">
        <v>626</v>
      </c>
      <c r="D46" s="7" t="s">
        <v>703</v>
      </c>
      <c r="E46" s="36">
        <v>6</v>
      </c>
      <c r="F46" s="37">
        <v>0.11</v>
      </c>
      <c r="G46" s="6" t="s">
        <v>67</v>
      </c>
      <c r="H46" s="6" t="s">
        <v>1412</v>
      </c>
      <c r="I46" s="6" t="s">
        <v>1413</v>
      </c>
      <c r="J46" s="6" t="s">
        <v>1414</v>
      </c>
    </row>
    <row r="47" spans="1:10" ht="153.94999999999999" customHeight="1" x14ac:dyDescent="0.25">
      <c r="A47" s="6"/>
      <c r="B47" s="35" t="s">
        <v>1234</v>
      </c>
      <c r="C47" s="6" t="s">
        <v>1320</v>
      </c>
      <c r="D47" s="7" t="s">
        <v>703</v>
      </c>
      <c r="E47" s="36">
        <v>15</v>
      </c>
      <c r="F47" s="37">
        <v>0.1</v>
      </c>
      <c r="G47" s="6" t="s">
        <v>67</v>
      </c>
      <c r="H47" s="6" t="s">
        <v>1415</v>
      </c>
      <c r="I47" s="6" t="s">
        <v>1416</v>
      </c>
      <c r="J47" s="6" t="s">
        <v>1417</v>
      </c>
    </row>
    <row r="48" spans="1:10" ht="56.1" customHeight="1" x14ac:dyDescent="0.25">
      <c r="A48" s="6"/>
      <c r="B48" s="35" t="s">
        <v>1242</v>
      </c>
      <c r="C48" s="6" t="s">
        <v>1278</v>
      </c>
      <c r="D48" s="7" t="s">
        <v>703</v>
      </c>
      <c r="E48" s="36">
        <v>33</v>
      </c>
      <c r="F48" s="37">
        <v>0.06</v>
      </c>
      <c r="G48" s="6" t="s">
        <v>67</v>
      </c>
      <c r="H48" s="6" t="s">
        <v>1418</v>
      </c>
      <c r="I48" s="6" t="s">
        <v>1419</v>
      </c>
      <c r="J48" s="6" t="s">
        <v>1420</v>
      </c>
    </row>
    <row r="49" spans="1:10" ht="78.95" customHeight="1" x14ac:dyDescent="0.25">
      <c r="A49" s="6"/>
      <c r="B49" s="35" t="s">
        <v>1244</v>
      </c>
      <c r="C49" s="6" t="s">
        <v>1278</v>
      </c>
      <c r="D49" s="7" t="s">
        <v>703</v>
      </c>
      <c r="E49" s="36">
        <v>34</v>
      </c>
      <c r="F49" s="37">
        <v>0.03</v>
      </c>
      <c r="G49" s="6" t="s">
        <v>67</v>
      </c>
      <c r="H49" s="6" t="s">
        <v>1421</v>
      </c>
      <c r="I49" s="6" t="s">
        <v>1422</v>
      </c>
      <c r="J49" s="6" t="s">
        <v>1423</v>
      </c>
    </row>
    <row r="50" spans="1:10" ht="108.95" customHeight="1" x14ac:dyDescent="0.25">
      <c r="A50" s="6"/>
      <c r="B50" s="35" t="s">
        <v>1424</v>
      </c>
      <c r="C50" s="6" t="s">
        <v>654</v>
      </c>
      <c r="D50" s="7" t="s">
        <v>703</v>
      </c>
      <c r="E50" s="36">
        <v>570</v>
      </c>
      <c r="F50" s="37">
        <v>0.08</v>
      </c>
      <c r="G50" s="6" t="s">
        <v>67</v>
      </c>
      <c r="H50" s="6" t="s">
        <v>1425</v>
      </c>
      <c r="I50" s="6" t="s">
        <v>1426</v>
      </c>
      <c r="J50" s="6" t="s">
        <v>1427</v>
      </c>
    </row>
    <row r="52" spans="1:10" ht="21.95" customHeight="1" x14ac:dyDescent="0.25">
      <c r="A52" s="54" t="s">
        <v>1428</v>
      </c>
      <c r="B52" s="55"/>
      <c r="C52" s="55"/>
      <c r="D52" s="55"/>
      <c r="E52" s="55"/>
      <c r="F52" s="55"/>
      <c r="G52" s="55"/>
      <c r="H52" s="55"/>
      <c r="I52" s="55"/>
      <c r="J52" s="55"/>
    </row>
    <row r="53" spans="1:10" ht="21.95" customHeight="1" x14ac:dyDescent="0.25">
      <c r="A53" s="4"/>
      <c r="B53" s="4" t="s">
        <v>1429</v>
      </c>
      <c r="C53" s="4" t="s">
        <v>747</v>
      </c>
      <c r="D53" s="4"/>
      <c r="E53" s="4" t="s">
        <v>1265</v>
      </c>
      <c r="F53" s="4"/>
      <c r="G53" s="4"/>
      <c r="H53" s="4" t="s">
        <v>1430</v>
      </c>
      <c r="I53" s="4"/>
      <c r="J53" s="4"/>
    </row>
    <row r="54" spans="1:10" ht="33.950000000000003" customHeight="1" x14ac:dyDescent="0.25">
      <c r="A54" s="6"/>
      <c r="B54" s="5" t="s">
        <v>1431</v>
      </c>
      <c r="C54" s="6" t="s">
        <v>1432</v>
      </c>
      <c r="D54" s="6"/>
      <c r="E54" s="38">
        <v>1.0999999999999999E-2</v>
      </c>
      <c r="F54" s="6"/>
      <c r="G54" s="6"/>
      <c r="H54" s="6" t="s">
        <v>1433</v>
      </c>
      <c r="I54" s="6"/>
      <c r="J54" s="6"/>
    </row>
    <row r="55" spans="1:10" ht="33.950000000000003" customHeight="1" x14ac:dyDescent="0.25">
      <c r="A55" s="6"/>
      <c r="B55" s="5" t="s">
        <v>1434</v>
      </c>
      <c r="C55" s="6" t="s">
        <v>1435</v>
      </c>
      <c r="D55" s="6"/>
      <c r="E55" s="38">
        <v>9.4E-2</v>
      </c>
      <c r="F55" s="6"/>
      <c r="G55" s="6"/>
      <c r="H55" s="6" t="s">
        <v>1436</v>
      </c>
      <c r="I55" s="6"/>
      <c r="J55" s="6"/>
    </row>
    <row r="56" spans="1:10" ht="33.950000000000003" customHeight="1" x14ac:dyDescent="0.25">
      <c r="A56" s="6"/>
      <c r="B56" s="5" t="s">
        <v>1437</v>
      </c>
      <c r="C56" s="6" t="s">
        <v>1438</v>
      </c>
      <c r="D56" s="6"/>
      <c r="E56" s="38">
        <v>5.6000000000000001E-2</v>
      </c>
      <c r="F56" s="6"/>
      <c r="G56" s="6"/>
      <c r="H56" s="6" t="s">
        <v>1439</v>
      </c>
      <c r="I56" s="6"/>
      <c r="J56" s="6"/>
    </row>
    <row r="57" spans="1:10" ht="33.950000000000003" customHeight="1" x14ac:dyDescent="0.25">
      <c r="A57" s="6"/>
      <c r="B57" s="5" t="s">
        <v>1440</v>
      </c>
      <c r="C57" s="6" t="s">
        <v>1441</v>
      </c>
      <c r="D57" s="6"/>
      <c r="E57" s="38">
        <v>0.19600000000000001</v>
      </c>
      <c r="F57" s="6"/>
      <c r="G57" s="6"/>
      <c r="H57" s="6" t="s">
        <v>1442</v>
      </c>
      <c r="I57" s="6"/>
      <c r="J57" s="6"/>
    </row>
    <row r="58" spans="1:10" ht="33.950000000000003" customHeight="1" x14ac:dyDescent="0.25">
      <c r="A58" s="6"/>
      <c r="B58" s="5" t="s">
        <v>1443</v>
      </c>
      <c r="C58" s="6" t="s">
        <v>1444</v>
      </c>
      <c r="D58" s="6"/>
      <c r="E58" s="38">
        <v>85.47</v>
      </c>
      <c r="F58" s="6"/>
      <c r="G58" s="6"/>
      <c r="H58" s="6" t="s">
        <v>1445</v>
      </c>
      <c r="I58" s="6"/>
      <c r="J58" s="6"/>
    </row>
    <row r="59" spans="1:10" ht="33.950000000000003" customHeight="1" x14ac:dyDescent="0.25">
      <c r="A59" s="6"/>
      <c r="B59" s="5" t="s">
        <v>1446</v>
      </c>
      <c r="C59" s="6" t="s">
        <v>1447</v>
      </c>
      <c r="D59" s="6"/>
      <c r="E59" s="38"/>
      <c r="F59" s="6"/>
      <c r="G59" s="6"/>
      <c r="H59" s="6" t="s">
        <v>1448</v>
      </c>
      <c r="I59" s="6"/>
      <c r="J59" s="6"/>
    </row>
    <row r="60" spans="1:10" ht="33.950000000000003" customHeight="1" x14ac:dyDescent="0.25">
      <c r="A60" s="6"/>
      <c r="B60" s="5" t="s">
        <v>1449</v>
      </c>
      <c r="C60" s="6" t="s">
        <v>1447</v>
      </c>
      <c r="D60" s="6"/>
      <c r="E60" s="38"/>
      <c r="F60" s="6"/>
      <c r="G60" s="6"/>
      <c r="H60" s="6" t="s">
        <v>1450</v>
      </c>
      <c r="I60" s="6"/>
      <c r="J60" s="6"/>
    </row>
  </sheetData>
  <autoFilter ref="A3:J50" xr:uid="{00000000-0009-0000-0000-00000E000000}"/>
  <mergeCells count="3">
    <mergeCell ref="A52:J52"/>
    <mergeCell ref="A1:J1"/>
    <mergeCell ref="A2:J2"/>
  </mergeCells>
  <conditionalFormatting sqref="D4:D50">
    <cfRule type="cellIs" dxfId="2" priority="1" operator="equal">
      <formula>"Barato"</formula>
    </cfRule>
    <cfRule type="cellIs" dxfId="1" priority="2" operator="equal">
      <formula>"Valor"</formula>
    </cfRule>
    <cfRule type="cellIs" dxfId="0" priority="3" operator="equal">
      <formula>"Luxo"</formula>
    </cfRule>
  </conditionalFormatting>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98E2B"/>
  </sheetPr>
  <dimension ref="A1:E295"/>
  <sheetViews>
    <sheetView showGridLines="0" workbookViewId="0">
      <pane ySplit="3" topLeftCell="A4" activePane="bottomLeft" state="frozen"/>
      <selection pane="bottomLeft"/>
    </sheetView>
  </sheetViews>
  <sheetFormatPr defaultRowHeight="15" x14ac:dyDescent="0.25"/>
  <cols>
    <col min="1" max="1" width="7" customWidth="1"/>
    <col min="2" max="2" width="30" customWidth="1"/>
    <col min="3" max="3" width="12" customWidth="1"/>
    <col min="4" max="4" width="8" customWidth="1"/>
    <col min="5" max="5" width="70" customWidth="1"/>
    <col min="6" max="6" width="4" customWidth="1"/>
  </cols>
  <sheetData>
    <row r="1" spans="1:5" ht="33.950000000000003" customHeight="1" x14ac:dyDescent="0.25">
      <c r="A1" s="59" t="s">
        <v>1451</v>
      </c>
      <c r="B1" s="50"/>
      <c r="C1" s="50"/>
      <c r="D1" s="50"/>
      <c r="E1" s="50"/>
    </row>
    <row r="2" spans="1:5" ht="30" customHeight="1" x14ac:dyDescent="0.25">
      <c r="A2" s="49" t="s">
        <v>1452</v>
      </c>
      <c r="B2" s="50"/>
      <c r="C2" s="50"/>
      <c r="D2" s="50"/>
      <c r="E2" s="50"/>
    </row>
    <row r="4" spans="1:5" ht="21.95" customHeight="1" x14ac:dyDescent="0.25">
      <c r="A4" s="54" t="s">
        <v>1453</v>
      </c>
      <c r="B4" s="55"/>
      <c r="C4" s="55"/>
      <c r="D4" s="55"/>
      <c r="E4" s="55"/>
    </row>
    <row r="5" spans="1:5" ht="21.95" customHeight="1" x14ac:dyDescent="0.25">
      <c r="A5" s="4"/>
      <c r="B5" s="4" t="s">
        <v>841</v>
      </c>
      <c r="C5" s="4" t="s">
        <v>209</v>
      </c>
      <c r="D5" s="4" t="s">
        <v>1454</v>
      </c>
      <c r="E5" s="4" t="s">
        <v>1430</v>
      </c>
    </row>
    <row r="6" spans="1:5" ht="32.1" customHeight="1" x14ac:dyDescent="0.25">
      <c r="A6" s="6"/>
      <c r="B6" s="39" t="s">
        <v>1455</v>
      </c>
      <c r="C6" s="6" t="s">
        <v>1456</v>
      </c>
      <c r="D6" s="6" t="s">
        <v>1457</v>
      </c>
      <c r="E6" s="6" t="s">
        <v>1458</v>
      </c>
    </row>
    <row r="7" spans="1:5" ht="32.1" customHeight="1" x14ac:dyDescent="0.25">
      <c r="A7" s="6"/>
      <c r="B7" s="39" t="s">
        <v>1459</v>
      </c>
      <c r="C7" s="6" t="s">
        <v>1456</v>
      </c>
      <c r="D7" s="6" t="s">
        <v>1457</v>
      </c>
      <c r="E7" s="6" t="s">
        <v>1460</v>
      </c>
    </row>
    <row r="8" spans="1:5" ht="32.1" customHeight="1" x14ac:dyDescent="0.25">
      <c r="A8" s="6"/>
      <c r="B8" s="39" t="s">
        <v>1461</v>
      </c>
      <c r="C8" s="6" t="s">
        <v>1456</v>
      </c>
      <c r="D8" s="6" t="s">
        <v>1457</v>
      </c>
      <c r="E8" s="6" t="s">
        <v>1462</v>
      </c>
    </row>
    <row r="9" spans="1:5" ht="21.95" customHeight="1" x14ac:dyDescent="0.25">
      <c r="A9" s="13"/>
      <c r="B9" s="13" t="s">
        <v>1463</v>
      </c>
      <c r="C9" s="13" t="s">
        <v>604</v>
      </c>
      <c r="D9" s="13" t="s">
        <v>1464</v>
      </c>
      <c r="E9" s="13" t="s">
        <v>1465</v>
      </c>
    </row>
    <row r="10" spans="1:5" ht="39.950000000000003" customHeight="1" x14ac:dyDescent="0.25">
      <c r="A10" s="6"/>
      <c r="B10" s="5" t="s">
        <v>1466</v>
      </c>
      <c r="C10" s="6" t="s">
        <v>1467</v>
      </c>
      <c r="D10" s="6"/>
      <c r="E10" s="6" t="s">
        <v>1468</v>
      </c>
    </row>
    <row r="11" spans="1:5" ht="39.950000000000003" customHeight="1" x14ac:dyDescent="0.25">
      <c r="A11" s="6"/>
      <c r="B11" s="5" t="s">
        <v>1469</v>
      </c>
      <c r="C11" s="6" t="s">
        <v>1470</v>
      </c>
      <c r="D11" s="6"/>
      <c r="E11" s="6" t="s">
        <v>28</v>
      </c>
    </row>
    <row r="12" spans="1:5" ht="39.950000000000003" customHeight="1" x14ac:dyDescent="0.25">
      <c r="A12" s="6"/>
      <c r="B12" s="35" t="s">
        <v>1274</v>
      </c>
      <c r="C12" s="6" t="s">
        <v>644</v>
      </c>
      <c r="D12" s="6" t="s">
        <v>95</v>
      </c>
      <c r="E12" s="6" t="s">
        <v>28</v>
      </c>
    </row>
    <row r="13" spans="1:5" ht="39.950000000000003" customHeight="1" x14ac:dyDescent="0.25">
      <c r="A13" s="6"/>
      <c r="B13" s="35" t="s">
        <v>1287</v>
      </c>
      <c r="C13" s="6" t="s">
        <v>654</v>
      </c>
      <c r="D13" s="6" t="s">
        <v>95</v>
      </c>
      <c r="E13" s="6" t="s">
        <v>28</v>
      </c>
    </row>
    <row r="14" spans="1:5" ht="39.950000000000003" customHeight="1" x14ac:dyDescent="0.25">
      <c r="A14" s="6"/>
      <c r="B14" s="35" t="s">
        <v>1271</v>
      </c>
      <c r="C14" s="6" t="s">
        <v>626</v>
      </c>
      <c r="D14" s="6" t="s">
        <v>95</v>
      </c>
      <c r="E14" s="6" t="s">
        <v>28</v>
      </c>
    </row>
    <row r="15" spans="1:5" ht="39.950000000000003" customHeight="1" x14ac:dyDescent="0.25">
      <c r="A15" s="6"/>
      <c r="B15" s="35" t="s">
        <v>1281</v>
      </c>
      <c r="C15" s="6" t="s">
        <v>638</v>
      </c>
      <c r="D15" s="6" t="s">
        <v>95</v>
      </c>
      <c r="E15" s="6" t="s">
        <v>28</v>
      </c>
    </row>
    <row r="16" spans="1:5" ht="39.950000000000003" customHeight="1" x14ac:dyDescent="0.25">
      <c r="A16" s="6"/>
      <c r="B16" s="5" t="s">
        <v>1471</v>
      </c>
      <c r="C16" s="6" t="s">
        <v>1320</v>
      </c>
      <c r="D16" s="6"/>
      <c r="E16" s="6" t="s">
        <v>1472</v>
      </c>
    </row>
    <row r="17" spans="1:5" ht="39.950000000000003" customHeight="1" x14ac:dyDescent="0.25">
      <c r="A17" s="6"/>
      <c r="B17" s="5" t="s">
        <v>1473</v>
      </c>
      <c r="C17" s="6" t="s">
        <v>1320</v>
      </c>
      <c r="D17" s="6"/>
      <c r="E17" s="6" t="s">
        <v>1474</v>
      </c>
    </row>
    <row r="18" spans="1:5" ht="39.950000000000003" customHeight="1" x14ac:dyDescent="0.25">
      <c r="A18" s="6"/>
      <c r="B18" s="5" t="s">
        <v>1475</v>
      </c>
      <c r="C18" s="6" t="s">
        <v>632</v>
      </c>
      <c r="D18" s="6"/>
      <c r="E18" s="6" t="s">
        <v>1476</v>
      </c>
    </row>
    <row r="19" spans="1:5" ht="39.950000000000003" customHeight="1" x14ac:dyDescent="0.25">
      <c r="A19" s="6"/>
      <c r="B19" s="35" t="s">
        <v>1284</v>
      </c>
      <c r="C19" s="6" t="s">
        <v>620</v>
      </c>
      <c r="D19" s="6" t="s">
        <v>95</v>
      </c>
      <c r="E19" s="6" t="s">
        <v>28</v>
      </c>
    </row>
    <row r="20" spans="1:5" ht="39.950000000000003" customHeight="1" x14ac:dyDescent="0.25">
      <c r="A20" s="6"/>
      <c r="B20" s="35" t="s">
        <v>1277</v>
      </c>
      <c r="C20" s="6" t="s">
        <v>1477</v>
      </c>
      <c r="D20" s="6" t="s">
        <v>95</v>
      </c>
      <c r="E20" s="6" t="s">
        <v>28</v>
      </c>
    </row>
    <row r="21" spans="1:5" ht="39.950000000000003" customHeight="1" x14ac:dyDescent="0.25">
      <c r="A21" s="6"/>
      <c r="B21" s="35" t="s">
        <v>1277</v>
      </c>
      <c r="C21" s="6" t="s">
        <v>1478</v>
      </c>
      <c r="D21" s="6" t="s">
        <v>95</v>
      </c>
      <c r="E21" s="6" t="s">
        <v>28</v>
      </c>
    </row>
    <row r="23" spans="1:5" ht="21.95" customHeight="1" x14ac:dyDescent="0.25">
      <c r="A23" s="54" t="s">
        <v>1479</v>
      </c>
      <c r="B23" s="55"/>
      <c r="C23" s="55"/>
      <c r="D23" s="55"/>
      <c r="E23" s="55"/>
    </row>
    <row r="24" spans="1:5" ht="21.95" customHeight="1" x14ac:dyDescent="0.25">
      <c r="A24" s="4"/>
      <c r="B24" s="4" t="s">
        <v>841</v>
      </c>
      <c r="C24" s="4" t="s">
        <v>209</v>
      </c>
      <c r="D24" s="4" t="s">
        <v>1454</v>
      </c>
      <c r="E24" s="4" t="s">
        <v>1430</v>
      </c>
    </row>
    <row r="25" spans="1:5" ht="32.1" customHeight="1" x14ac:dyDescent="0.25">
      <c r="A25" s="6"/>
      <c r="B25" s="5" t="s">
        <v>1455</v>
      </c>
      <c r="C25" s="6" t="s">
        <v>1456</v>
      </c>
      <c r="D25" s="6"/>
      <c r="E25" s="6" t="s">
        <v>1458</v>
      </c>
    </row>
    <row r="26" spans="1:5" ht="32.1" customHeight="1" x14ac:dyDescent="0.25">
      <c r="A26" s="6"/>
      <c r="B26" s="5" t="s">
        <v>1459</v>
      </c>
      <c r="C26" s="6" t="s">
        <v>1456</v>
      </c>
      <c r="D26" s="6"/>
      <c r="E26" s="6" t="s">
        <v>1460</v>
      </c>
    </row>
    <row r="27" spans="1:5" ht="32.1" customHeight="1" x14ac:dyDescent="0.25">
      <c r="A27" s="6"/>
      <c r="B27" s="5" t="s">
        <v>1461</v>
      </c>
      <c r="C27" s="6" t="s">
        <v>1456</v>
      </c>
      <c r="D27" s="6"/>
      <c r="E27" s="6" t="s">
        <v>1462</v>
      </c>
    </row>
    <row r="28" spans="1:5" ht="21.95" customHeight="1" x14ac:dyDescent="0.25">
      <c r="A28" s="13"/>
      <c r="B28" s="13" t="s">
        <v>1463</v>
      </c>
      <c r="C28" s="13" t="s">
        <v>604</v>
      </c>
      <c r="D28" s="13" t="s">
        <v>1464</v>
      </c>
      <c r="E28" s="13" t="s">
        <v>1465</v>
      </c>
    </row>
    <row r="29" spans="1:5" ht="39.950000000000003" customHeight="1" x14ac:dyDescent="0.25">
      <c r="A29" s="6"/>
      <c r="B29" s="35" t="s">
        <v>1291</v>
      </c>
      <c r="C29" s="6" t="s">
        <v>1467</v>
      </c>
      <c r="D29" s="6" t="s">
        <v>95</v>
      </c>
      <c r="E29" s="6" t="s">
        <v>28</v>
      </c>
    </row>
    <row r="30" spans="1:5" ht="39.950000000000003" customHeight="1" x14ac:dyDescent="0.25">
      <c r="A30" s="6"/>
      <c r="B30" s="35" t="s">
        <v>1274</v>
      </c>
      <c r="C30" s="6" t="s">
        <v>644</v>
      </c>
      <c r="D30" s="6" t="s">
        <v>95</v>
      </c>
      <c r="E30" s="6" t="s">
        <v>28</v>
      </c>
    </row>
    <row r="31" spans="1:5" ht="39.950000000000003" customHeight="1" x14ac:dyDescent="0.25">
      <c r="A31" s="6"/>
      <c r="B31" s="35" t="s">
        <v>1287</v>
      </c>
      <c r="C31" s="6" t="s">
        <v>654</v>
      </c>
      <c r="D31" s="6" t="s">
        <v>95</v>
      </c>
      <c r="E31" s="6" t="s">
        <v>28</v>
      </c>
    </row>
    <row r="32" spans="1:5" ht="39.950000000000003" customHeight="1" x14ac:dyDescent="0.25">
      <c r="A32" s="6"/>
      <c r="B32" s="35" t="s">
        <v>1271</v>
      </c>
      <c r="C32" s="6" t="s">
        <v>626</v>
      </c>
      <c r="D32" s="6" t="s">
        <v>95</v>
      </c>
      <c r="E32" s="6" t="s">
        <v>28</v>
      </c>
    </row>
    <row r="33" spans="1:5" ht="39.950000000000003" customHeight="1" x14ac:dyDescent="0.25">
      <c r="A33" s="6"/>
      <c r="B33" s="35" t="s">
        <v>1281</v>
      </c>
      <c r="C33" s="6" t="s">
        <v>638</v>
      </c>
      <c r="D33" s="6" t="s">
        <v>95</v>
      </c>
      <c r="E33" s="6" t="s">
        <v>28</v>
      </c>
    </row>
    <row r="34" spans="1:5" ht="39.950000000000003" customHeight="1" x14ac:dyDescent="0.25">
      <c r="A34" s="6"/>
      <c r="B34" s="5" t="s">
        <v>1471</v>
      </c>
      <c r="C34" s="6" t="s">
        <v>1320</v>
      </c>
      <c r="D34" s="6"/>
      <c r="E34" s="6" t="s">
        <v>1472</v>
      </c>
    </row>
    <row r="35" spans="1:5" ht="39.950000000000003" customHeight="1" x14ac:dyDescent="0.25">
      <c r="A35" s="6"/>
      <c r="B35" s="5" t="s">
        <v>1473</v>
      </c>
      <c r="C35" s="6" t="s">
        <v>1320</v>
      </c>
      <c r="D35" s="6"/>
      <c r="E35" s="6" t="s">
        <v>1474</v>
      </c>
    </row>
    <row r="36" spans="1:5" ht="39.950000000000003" customHeight="1" x14ac:dyDescent="0.25">
      <c r="A36" s="6"/>
      <c r="B36" s="5" t="s">
        <v>1480</v>
      </c>
      <c r="C36" s="6" t="s">
        <v>632</v>
      </c>
      <c r="D36" s="6"/>
      <c r="E36" s="6" t="s">
        <v>1481</v>
      </c>
    </row>
    <row r="37" spans="1:5" ht="39.950000000000003" customHeight="1" x14ac:dyDescent="0.25">
      <c r="A37" s="6"/>
      <c r="B37" s="35" t="s">
        <v>1284</v>
      </c>
      <c r="C37" s="6" t="s">
        <v>620</v>
      </c>
      <c r="D37" s="6" t="s">
        <v>95</v>
      </c>
      <c r="E37" s="6" t="s">
        <v>28</v>
      </c>
    </row>
    <row r="38" spans="1:5" ht="39.950000000000003" customHeight="1" x14ac:dyDescent="0.25">
      <c r="A38" s="6"/>
      <c r="B38" s="35" t="s">
        <v>1277</v>
      </c>
      <c r="C38" s="6" t="s">
        <v>1477</v>
      </c>
      <c r="D38" s="6" t="s">
        <v>95</v>
      </c>
      <c r="E38" s="6" t="s">
        <v>28</v>
      </c>
    </row>
    <row r="39" spans="1:5" ht="39.950000000000003" customHeight="1" x14ac:dyDescent="0.25">
      <c r="A39" s="6"/>
      <c r="B39" s="35" t="s">
        <v>1277</v>
      </c>
      <c r="C39" s="6" t="s">
        <v>1478</v>
      </c>
      <c r="D39" s="6" t="s">
        <v>95</v>
      </c>
      <c r="E39" s="6" t="s">
        <v>28</v>
      </c>
    </row>
    <row r="41" spans="1:5" ht="21.95" customHeight="1" x14ac:dyDescent="0.25">
      <c r="A41" s="54" t="s">
        <v>1482</v>
      </c>
      <c r="B41" s="55"/>
      <c r="C41" s="55"/>
      <c r="D41" s="55"/>
      <c r="E41" s="55"/>
    </row>
    <row r="42" spans="1:5" ht="21.95" customHeight="1" x14ac:dyDescent="0.25">
      <c r="A42" s="4"/>
      <c r="B42" s="4" t="s">
        <v>841</v>
      </c>
      <c r="C42" s="4" t="s">
        <v>209</v>
      </c>
      <c r="D42" s="4" t="s">
        <v>1454</v>
      </c>
      <c r="E42" s="4" t="s">
        <v>1430</v>
      </c>
    </row>
    <row r="43" spans="1:5" ht="32.1" customHeight="1" x14ac:dyDescent="0.25">
      <c r="A43" s="6"/>
      <c r="B43" s="39" t="s">
        <v>1251</v>
      </c>
      <c r="C43" s="6" t="s">
        <v>1456</v>
      </c>
      <c r="D43" s="6" t="s">
        <v>1457</v>
      </c>
      <c r="E43" s="6" t="s">
        <v>1483</v>
      </c>
    </row>
    <row r="44" spans="1:5" ht="32.1" customHeight="1" x14ac:dyDescent="0.25">
      <c r="A44" s="6"/>
      <c r="B44" s="39" t="s">
        <v>1484</v>
      </c>
      <c r="C44" s="6" t="s">
        <v>1456</v>
      </c>
      <c r="D44" s="6" t="s">
        <v>1457</v>
      </c>
      <c r="E44" s="6" t="s">
        <v>1485</v>
      </c>
    </row>
    <row r="45" spans="1:5" ht="32.1" customHeight="1" x14ac:dyDescent="0.25">
      <c r="A45" s="6"/>
      <c r="B45" s="39" t="s">
        <v>1486</v>
      </c>
      <c r="C45" s="6" t="s">
        <v>1456</v>
      </c>
      <c r="D45" s="6" t="s">
        <v>1457</v>
      </c>
      <c r="E45" s="6" t="s">
        <v>1487</v>
      </c>
    </row>
    <row r="46" spans="1:5" ht="32.1" customHeight="1" x14ac:dyDescent="0.25">
      <c r="A46" s="6"/>
      <c r="B46" s="39" t="s">
        <v>1249</v>
      </c>
      <c r="C46" s="6" t="s">
        <v>1456</v>
      </c>
      <c r="D46" s="6" t="s">
        <v>1457</v>
      </c>
      <c r="E46" s="6" t="s">
        <v>1488</v>
      </c>
    </row>
    <row r="47" spans="1:5" ht="32.1" customHeight="1" x14ac:dyDescent="0.25">
      <c r="A47" s="6"/>
      <c r="B47" s="39" t="s">
        <v>831</v>
      </c>
      <c r="C47" s="6" t="s">
        <v>1456</v>
      </c>
      <c r="D47" s="6" t="s">
        <v>1457</v>
      </c>
      <c r="E47" s="6" t="s">
        <v>1489</v>
      </c>
    </row>
    <row r="48" spans="1:5" ht="32.1" customHeight="1" x14ac:dyDescent="0.25">
      <c r="A48" s="6"/>
      <c r="B48" s="39" t="s">
        <v>1254</v>
      </c>
      <c r="C48" s="6" t="s">
        <v>1456</v>
      </c>
      <c r="D48" s="6" t="s">
        <v>1457</v>
      </c>
      <c r="E48" s="6" t="s">
        <v>1490</v>
      </c>
    </row>
    <row r="49" spans="1:5" ht="32.1" customHeight="1" x14ac:dyDescent="0.25">
      <c r="A49" s="6"/>
      <c r="B49" s="39" t="s">
        <v>1255</v>
      </c>
      <c r="C49" s="6" t="s">
        <v>1456</v>
      </c>
      <c r="D49" s="6" t="s">
        <v>1457</v>
      </c>
      <c r="E49" s="6" t="s">
        <v>1491</v>
      </c>
    </row>
    <row r="50" spans="1:5" ht="21.95" customHeight="1" x14ac:dyDescent="0.25">
      <c r="A50" s="13"/>
      <c r="B50" s="13" t="s">
        <v>1492</v>
      </c>
      <c r="C50" s="13" t="s">
        <v>604</v>
      </c>
      <c r="D50" s="13" t="s">
        <v>1464</v>
      </c>
      <c r="E50" s="13" t="s">
        <v>1465</v>
      </c>
    </row>
    <row r="51" spans="1:5" ht="39.950000000000003" customHeight="1" x14ac:dyDescent="0.25">
      <c r="A51" s="6"/>
      <c r="B51" s="5" t="s">
        <v>1294</v>
      </c>
      <c r="C51" s="6" t="s">
        <v>1467</v>
      </c>
      <c r="D51" s="6"/>
      <c r="E51" s="6" t="s">
        <v>1493</v>
      </c>
    </row>
    <row r="52" spans="1:5" ht="39.950000000000003" customHeight="1" x14ac:dyDescent="0.25">
      <c r="A52" s="6"/>
      <c r="B52" s="35" t="s">
        <v>1201</v>
      </c>
      <c r="C52" s="6" t="s">
        <v>1470</v>
      </c>
      <c r="D52" s="6" t="s">
        <v>95</v>
      </c>
      <c r="E52" s="6" t="s">
        <v>1494</v>
      </c>
    </row>
    <row r="53" spans="1:5" ht="39.950000000000003" customHeight="1" x14ac:dyDescent="0.25">
      <c r="A53" s="6"/>
      <c r="B53" s="5" t="s">
        <v>1495</v>
      </c>
      <c r="C53" s="6" t="s">
        <v>620</v>
      </c>
      <c r="D53" s="6"/>
      <c r="E53" s="6" t="s">
        <v>1496</v>
      </c>
    </row>
    <row r="54" spans="1:5" ht="48.95" customHeight="1" x14ac:dyDescent="0.25">
      <c r="A54" s="6"/>
      <c r="B54" s="35" t="s">
        <v>1271</v>
      </c>
      <c r="C54" s="6" t="s">
        <v>626</v>
      </c>
      <c r="D54" s="6" t="s">
        <v>95</v>
      </c>
      <c r="E54" s="6" t="s">
        <v>1497</v>
      </c>
    </row>
    <row r="55" spans="1:5" ht="39.950000000000003" customHeight="1" x14ac:dyDescent="0.25">
      <c r="A55" s="6"/>
      <c r="B55" s="5" t="s">
        <v>1498</v>
      </c>
      <c r="C55" s="6" t="s">
        <v>632</v>
      </c>
      <c r="D55" s="6"/>
      <c r="E55" s="6" t="s">
        <v>1499</v>
      </c>
    </row>
    <row r="56" spans="1:5" ht="39.950000000000003" customHeight="1" x14ac:dyDescent="0.25">
      <c r="A56" s="6"/>
      <c r="B56" s="35" t="s">
        <v>1281</v>
      </c>
      <c r="C56" s="6" t="s">
        <v>638</v>
      </c>
      <c r="D56" s="6" t="s">
        <v>95</v>
      </c>
      <c r="E56" s="6" t="s">
        <v>1500</v>
      </c>
    </row>
    <row r="57" spans="1:5" ht="39.950000000000003" customHeight="1" x14ac:dyDescent="0.25">
      <c r="A57" s="6"/>
      <c r="B57" s="5" t="s">
        <v>1501</v>
      </c>
      <c r="C57" s="6" t="s">
        <v>644</v>
      </c>
      <c r="D57" s="6"/>
      <c r="E57" s="6" t="s">
        <v>1502</v>
      </c>
    </row>
    <row r="58" spans="1:5" ht="39.950000000000003" customHeight="1" x14ac:dyDescent="0.25">
      <c r="A58" s="6"/>
      <c r="B58" s="35" t="s">
        <v>1277</v>
      </c>
      <c r="C58" s="6" t="s">
        <v>1477</v>
      </c>
      <c r="D58" s="6" t="s">
        <v>95</v>
      </c>
      <c r="E58" s="6" t="s">
        <v>1503</v>
      </c>
    </row>
    <row r="59" spans="1:5" ht="39.950000000000003" customHeight="1" x14ac:dyDescent="0.25">
      <c r="A59" s="6"/>
      <c r="B59" s="35" t="s">
        <v>1277</v>
      </c>
      <c r="C59" s="6" t="s">
        <v>1478</v>
      </c>
      <c r="D59" s="6" t="s">
        <v>95</v>
      </c>
      <c r="E59" s="6" t="s">
        <v>1503</v>
      </c>
    </row>
    <row r="60" spans="1:5" ht="39.950000000000003" customHeight="1" x14ac:dyDescent="0.25">
      <c r="A60" s="6"/>
      <c r="B60" s="35" t="s">
        <v>1298</v>
      </c>
      <c r="C60" s="6" t="s">
        <v>654</v>
      </c>
      <c r="D60" s="6" t="s">
        <v>95</v>
      </c>
      <c r="E60" s="6" t="s">
        <v>1504</v>
      </c>
    </row>
    <row r="61" spans="1:5" ht="21.95" customHeight="1" x14ac:dyDescent="0.25">
      <c r="A61" s="13"/>
      <c r="B61" s="13" t="s">
        <v>1505</v>
      </c>
      <c r="C61" s="13" t="s">
        <v>604</v>
      </c>
      <c r="D61" s="13" t="s">
        <v>1464</v>
      </c>
      <c r="E61" s="13" t="s">
        <v>1465</v>
      </c>
    </row>
    <row r="62" spans="1:5" ht="63.95" customHeight="1" x14ac:dyDescent="0.25">
      <c r="A62" s="6"/>
      <c r="B62" s="35" t="s">
        <v>1202</v>
      </c>
      <c r="C62" s="6" t="s">
        <v>1467</v>
      </c>
      <c r="D62" s="6" t="s">
        <v>95</v>
      </c>
      <c r="E62" s="6" t="s">
        <v>1506</v>
      </c>
    </row>
    <row r="63" spans="1:5" ht="39.950000000000003" customHeight="1" x14ac:dyDescent="0.25">
      <c r="A63" s="6"/>
      <c r="B63" s="5" t="s">
        <v>1294</v>
      </c>
      <c r="C63" s="6" t="s">
        <v>1470</v>
      </c>
      <c r="D63" s="6"/>
      <c r="E63" s="6" t="s">
        <v>1493</v>
      </c>
    </row>
    <row r="64" spans="1:5" ht="63.95" customHeight="1" x14ac:dyDescent="0.25">
      <c r="A64" s="6"/>
      <c r="B64" s="35" t="s">
        <v>1316</v>
      </c>
      <c r="C64" s="6" t="s">
        <v>620</v>
      </c>
      <c r="D64" s="6" t="s">
        <v>95</v>
      </c>
      <c r="E64" s="6" t="s">
        <v>1507</v>
      </c>
    </row>
    <row r="65" spans="1:5" ht="48.95" customHeight="1" x14ac:dyDescent="0.25">
      <c r="A65" s="6"/>
      <c r="B65" s="35" t="s">
        <v>1324</v>
      </c>
      <c r="C65" s="6" t="s">
        <v>626</v>
      </c>
      <c r="D65" s="6" t="s">
        <v>95</v>
      </c>
      <c r="E65" s="6" t="s">
        <v>1508</v>
      </c>
    </row>
    <row r="66" spans="1:5" ht="39.950000000000003" customHeight="1" x14ac:dyDescent="0.25">
      <c r="A66" s="6"/>
      <c r="B66" s="35" t="s">
        <v>1309</v>
      </c>
      <c r="C66" s="6" t="s">
        <v>632</v>
      </c>
      <c r="D66" s="6" t="s">
        <v>95</v>
      </c>
      <c r="E66" s="6" t="s">
        <v>1509</v>
      </c>
    </row>
    <row r="67" spans="1:5" ht="39.950000000000003" customHeight="1" x14ac:dyDescent="0.25">
      <c r="A67" s="6"/>
      <c r="B67" s="35" t="s">
        <v>1281</v>
      </c>
      <c r="C67" s="6" t="s">
        <v>638</v>
      </c>
      <c r="D67" s="6" t="s">
        <v>95</v>
      </c>
      <c r="E67" s="6" t="s">
        <v>1500</v>
      </c>
    </row>
    <row r="68" spans="1:5" ht="39.950000000000003" customHeight="1" x14ac:dyDescent="0.25">
      <c r="A68" s="6"/>
      <c r="B68" s="5" t="s">
        <v>1501</v>
      </c>
      <c r="C68" s="6" t="s">
        <v>644</v>
      </c>
      <c r="D68" s="6"/>
      <c r="E68" s="6" t="s">
        <v>1502</v>
      </c>
    </row>
    <row r="69" spans="1:5" ht="39.950000000000003" customHeight="1" x14ac:dyDescent="0.25">
      <c r="A69" s="6"/>
      <c r="B69" s="35" t="s">
        <v>1277</v>
      </c>
      <c r="C69" s="6" t="s">
        <v>1477</v>
      </c>
      <c r="D69" s="6" t="s">
        <v>95</v>
      </c>
      <c r="E69" s="6" t="s">
        <v>1503</v>
      </c>
    </row>
    <row r="70" spans="1:5" ht="39.950000000000003" customHeight="1" x14ac:dyDescent="0.25">
      <c r="A70" s="6"/>
      <c r="B70" s="35" t="s">
        <v>1277</v>
      </c>
      <c r="C70" s="6" t="s">
        <v>1478</v>
      </c>
      <c r="D70" s="6" t="s">
        <v>95</v>
      </c>
      <c r="E70" s="6" t="s">
        <v>1503</v>
      </c>
    </row>
    <row r="71" spans="1:5" ht="39.950000000000003" customHeight="1" x14ac:dyDescent="0.25">
      <c r="A71" s="6"/>
      <c r="B71" s="35" t="s">
        <v>1298</v>
      </c>
      <c r="C71" s="6" t="s">
        <v>654</v>
      </c>
      <c r="D71" s="6" t="s">
        <v>95</v>
      </c>
      <c r="E71" s="6" t="s">
        <v>1504</v>
      </c>
    </row>
    <row r="73" spans="1:5" ht="21.95" customHeight="1" x14ac:dyDescent="0.25">
      <c r="A73" s="54" t="s">
        <v>1510</v>
      </c>
      <c r="B73" s="55"/>
      <c r="C73" s="55"/>
      <c r="D73" s="55"/>
      <c r="E73" s="55"/>
    </row>
    <row r="74" spans="1:5" ht="21.95" customHeight="1" x14ac:dyDescent="0.25">
      <c r="A74" s="4"/>
      <c r="B74" s="4" t="s">
        <v>841</v>
      </c>
      <c r="C74" s="4" t="s">
        <v>209</v>
      </c>
      <c r="D74" s="4" t="s">
        <v>1454</v>
      </c>
      <c r="E74" s="4" t="s">
        <v>1430</v>
      </c>
    </row>
    <row r="75" spans="1:5" ht="32.1" customHeight="1" x14ac:dyDescent="0.25">
      <c r="A75" s="6"/>
      <c r="B75" s="5" t="s">
        <v>1251</v>
      </c>
      <c r="C75" s="6" t="s">
        <v>1456</v>
      </c>
      <c r="D75" s="6"/>
      <c r="E75" s="6" t="s">
        <v>1483</v>
      </c>
    </row>
    <row r="76" spans="1:5" ht="32.1" customHeight="1" x14ac:dyDescent="0.25">
      <c r="A76" s="6"/>
      <c r="B76" s="5" t="s">
        <v>1484</v>
      </c>
      <c r="C76" s="6" t="s">
        <v>1456</v>
      </c>
      <c r="D76" s="6"/>
      <c r="E76" s="6" t="s">
        <v>1485</v>
      </c>
    </row>
    <row r="77" spans="1:5" ht="32.1" customHeight="1" x14ac:dyDescent="0.25">
      <c r="A77" s="6"/>
      <c r="B77" s="5" t="s">
        <v>1486</v>
      </c>
      <c r="C77" s="6" t="s">
        <v>1456</v>
      </c>
      <c r="D77" s="6"/>
      <c r="E77" s="6" t="s">
        <v>1487</v>
      </c>
    </row>
    <row r="78" spans="1:5" ht="32.1" customHeight="1" x14ac:dyDescent="0.25">
      <c r="A78" s="6"/>
      <c r="B78" s="39" t="s">
        <v>1247</v>
      </c>
      <c r="C78" s="6" t="s">
        <v>1456</v>
      </c>
      <c r="D78" s="6" t="s">
        <v>1457</v>
      </c>
      <c r="E78" s="6" t="s">
        <v>1511</v>
      </c>
    </row>
    <row r="79" spans="1:5" ht="32.1" customHeight="1" x14ac:dyDescent="0.25">
      <c r="A79" s="6"/>
      <c r="B79" s="5" t="s">
        <v>1249</v>
      </c>
      <c r="C79" s="6" t="s">
        <v>1456</v>
      </c>
      <c r="D79" s="6"/>
      <c r="E79" s="6" t="s">
        <v>1488</v>
      </c>
    </row>
    <row r="80" spans="1:5" ht="32.1" customHeight="1" x14ac:dyDescent="0.25">
      <c r="A80" s="6"/>
      <c r="B80" s="5" t="s">
        <v>831</v>
      </c>
      <c r="C80" s="6" t="s">
        <v>1456</v>
      </c>
      <c r="D80" s="6"/>
      <c r="E80" s="6" t="s">
        <v>1489</v>
      </c>
    </row>
    <row r="81" spans="1:5" ht="32.1" customHeight="1" x14ac:dyDescent="0.25">
      <c r="A81" s="6"/>
      <c r="B81" s="39" t="s">
        <v>1512</v>
      </c>
      <c r="C81" s="6" t="s">
        <v>1456</v>
      </c>
      <c r="D81" s="6" t="s">
        <v>1457</v>
      </c>
      <c r="E81" s="6" t="s">
        <v>1513</v>
      </c>
    </row>
    <row r="82" spans="1:5" ht="32.1" customHeight="1" x14ac:dyDescent="0.25">
      <c r="A82" s="6"/>
      <c r="B82" s="39" t="s">
        <v>840</v>
      </c>
      <c r="C82" s="6" t="s">
        <v>1456</v>
      </c>
      <c r="D82" s="6" t="s">
        <v>1457</v>
      </c>
      <c r="E82" s="6" t="s">
        <v>1514</v>
      </c>
    </row>
    <row r="83" spans="1:5" ht="32.1" customHeight="1" x14ac:dyDescent="0.25">
      <c r="A83" s="6"/>
      <c r="B83" s="5" t="s">
        <v>1254</v>
      </c>
      <c r="C83" s="6" t="s">
        <v>1456</v>
      </c>
      <c r="D83" s="6"/>
      <c r="E83" s="6" t="s">
        <v>1490</v>
      </c>
    </row>
    <row r="84" spans="1:5" ht="32.1" customHeight="1" x14ac:dyDescent="0.25">
      <c r="A84" s="6"/>
      <c r="B84" s="5" t="s">
        <v>1255</v>
      </c>
      <c r="C84" s="6" t="s">
        <v>1456</v>
      </c>
      <c r="D84" s="6"/>
      <c r="E84" s="6" t="s">
        <v>1491</v>
      </c>
    </row>
    <row r="85" spans="1:5" ht="21.95" customHeight="1" x14ac:dyDescent="0.25">
      <c r="A85" s="13"/>
      <c r="B85" s="13" t="s">
        <v>1492</v>
      </c>
      <c r="C85" s="13" t="s">
        <v>604</v>
      </c>
      <c r="D85" s="13" t="s">
        <v>1464</v>
      </c>
      <c r="E85" s="13" t="s">
        <v>1465</v>
      </c>
    </row>
    <row r="86" spans="1:5" ht="39.950000000000003" customHeight="1" x14ac:dyDescent="0.25">
      <c r="A86" s="6"/>
      <c r="B86" s="5" t="s">
        <v>1294</v>
      </c>
      <c r="C86" s="6" t="s">
        <v>1467</v>
      </c>
      <c r="D86" s="6"/>
      <c r="E86" s="6" t="s">
        <v>1493</v>
      </c>
    </row>
    <row r="87" spans="1:5" ht="39.950000000000003" customHeight="1" x14ac:dyDescent="0.25">
      <c r="A87" s="6"/>
      <c r="B87" s="35" t="s">
        <v>1201</v>
      </c>
      <c r="C87" s="6" t="s">
        <v>1470</v>
      </c>
      <c r="D87" s="6" t="s">
        <v>95</v>
      </c>
      <c r="E87" s="6" t="s">
        <v>1515</v>
      </c>
    </row>
    <row r="88" spans="1:5" ht="39.950000000000003" customHeight="1" x14ac:dyDescent="0.25">
      <c r="A88" s="6"/>
      <c r="B88" s="5" t="s">
        <v>1495</v>
      </c>
      <c r="C88" s="6" t="s">
        <v>620</v>
      </c>
      <c r="D88" s="6"/>
      <c r="E88" s="6" t="s">
        <v>1496</v>
      </c>
    </row>
    <row r="89" spans="1:5" ht="48.95" customHeight="1" x14ac:dyDescent="0.25">
      <c r="A89" s="6"/>
      <c r="B89" s="35" t="s">
        <v>1324</v>
      </c>
      <c r="C89" s="6" t="s">
        <v>626</v>
      </c>
      <c r="D89" s="6" t="s">
        <v>95</v>
      </c>
      <c r="E89" s="6" t="s">
        <v>1508</v>
      </c>
    </row>
    <row r="90" spans="1:5" ht="39.950000000000003" customHeight="1" x14ac:dyDescent="0.25">
      <c r="A90" s="6"/>
      <c r="B90" s="5" t="s">
        <v>1498</v>
      </c>
      <c r="C90" s="6" t="s">
        <v>632</v>
      </c>
      <c r="D90" s="6"/>
      <c r="E90" s="6" t="s">
        <v>1499</v>
      </c>
    </row>
    <row r="91" spans="1:5" ht="39.950000000000003" customHeight="1" x14ac:dyDescent="0.25">
      <c r="A91" s="6"/>
      <c r="B91" s="35" t="s">
        <v>1328</v>
      </c>
      <c r="C91" s="6" t="s">
        <v>638</v>
      </c>
      <c r="D91" s="6" t="s">
        <v>95</v>
      </c>
      <c r="E91" s="6" t="s">
        <v>1516</v>
      </c>
    </row>
    <row r="92" spans="1:5" ht="39.950000000000003" customHeight="1" x14ac:dyDescent="0.25">
      <c r="A92" s="6"/>
      <c r="B92" s="5" t="s">
        <v>1501</v>
      </c>
      <c r="C92" s="6" t="s">
        <v>644</v>
      </c>
      <c r="D92" s="6"/>
      <c r="E92" s="6" t="s">
        <v>1502</v>
      </c>
    </row>
    <row r="93" spans="1:5" ht="48.95" customHeight="1" x14ac:dyDescent="0.25">
      <c r="A93" s="6"/>
      <c r="B93" s="35" t="s">
        <v>1334</v>
      </c>
      <c r="C93" s="6" t="s">
        <v>1477</v>
      </c>
      <c r="D93" s="6" t="s">
        <v>95</v>
      </c>
      <c r="E93" s="6" t="s">
        <v>1517</v>
      </c>
    </row>
    <row r="94" spans="1:5" ht="48.95" customHeight="1" x14ac:dyDescent="0.25">
      <c r="A94" s="6"/>
      <c r="B94" s="35" t="s">
        <v>1334</v>
      </c>
      <c r="C94" s="6" t="s">
        <v>1478</v>
      </c>
      <c r="D94" s="6" t="s">
        <v>95</v>
      </c>
      <c r="E94" s="6" t="s">
        <v>1517</v>
      </c>
    </row>
    <row r="95" spans="1:5" ht="39.950000000000003" customHeight="1" x14ac:dyDescent="0.25">
      <c r="A95" s="6"/>
      <c r="B95" s="35" t="s">
        <v>1298</v>
      </c>
      <c r="C95" s="6" t="s">
        <v>654</v>
      </c>
      <c r="D95" s="6" t="s">
        <v>95</v>
      </c>
      <c r="E95" s="6" t="s">
        <v>1504</v>
      </c>
    </row>
    <row r="96" spans="1:5" ht="48.95" customHeight="1" x14ac:dyDescent="0.25">
      <c r="A96" s="6"/>
      <c r="B96" s="35" t="s">
        <v>1228</v>
      </c>
      <c r="C96" s="6" t="s">
        <v>1320</v>
      </c>
      <c r="D96" s="6" t="s">
        <v>95</v>
      </c>
      <c r="E96" s="6" t="s">
        <v>1518</v>
      </c>
    </row>
    <row r="97" spans="1:5" ht="39.950000000000003" customHeight="1" x14ac:dyDescent="0.25">
      <c r="A97" s="6"/>
      <c r="B97" s="35" t="s">
        <v>1230</v>
      </c>
      <c r="C97" s="6" t="s">
        <v>1320</v>
      </c>
      <c r="D97" s="6" t="s">
        <v>95</v>
      </c>
      <c r="E97" s="6" t="s">
        <v>1519</v>
      </c>
    </row>
    <row r="98" spans="1:5" ht="21.95" customHeight="1" x14ac:dyDescent="0.25">
      <c r="A98" s="13"/>
      <c r="B98" s="13" t="s">
        <v>1505</v>
      </c>
      <c r="C98" s="13" t="s">
        <v>604</v>
      </c>
      <c r="D98" s="13" t="s">
        <v>1464</v>
      </c>
      <c r="E98" s="13" t="s">
        <v>1465</v>
      </c>
    </row>
    <row r="99" spans="1:5" ht="63.95" customHeight="1" x14ac:dyDescent="0.25">
      <c r="A99" s="6"/>
      <c r="B99" s="35" t="s">
        <v>1202</v>
      </c>
      <c r="C99" s="6" t="s">
        <v>1467</v>
      </c>
      <c r="D99" s="6" t="s">
        <v>95</v>
      </c>
      <c r="E99" s="6" t="s">
        <v>1506</v>
      </c>
    </row>
    <row r="100" spans="1:5" ht="39.950000000000003" customHeight="1" x14ac:dyDescent="0.25">
      <c r="A100" s="6"/>
      <c r="B100" s="5" t="s">
        <v>1294</v>
      </c>
      <c r="C100" s="6" t="s">
        <v>1470</v>
      </c>
      <c r="D100" s="6"/>
      <c r="E100" s="6" t="s">
        <v>1493</v>
      </c>
    </row>
    <row r="101" spans="1:5" ht="63.95" customHeight="1" x14ac:dyDescent="0.25">
      <c r="A101" s="6"/>
      <c r="B101" s="35" t="s">
        <v>1316</v>
      </c>
      <c r="C101" s="6" t="s">
        <v>620</v>
      </c>
      <c r="D101" s="6" t="s">
        <v>95</v>
      </c>
      <c r="E101" s="6" t="s">
        <v>1520</v>
      </c>
    </row>
    <row r="102" spans="1:5" ht="48.95" customHeight="1" x14ac:dyDescent="0.25">
      <c r="A102" s="6"/>
      <c r="B102" s="35" t="s">
        <v>1324</v>
      </c>
      <c r="C102" s="6" t="s">
        <v>626</v>
      </c>
      <c r="D102" s="6" t="s">
        <v>95</v>
      </c>
      <c r="E102" s="6" t="s">
        <v>1521</v>
      </c>
    </row>
    <row r="103" spans="1:5" ht="39.950000000000003" customHeight="1" x14ac:dyDescent="0.25">
      <c r="A103" s="6"/>
      <c r="B103" s="35" t="s">
        <v>1309</v>
      </c>
      <c r="C103" s="6" t="s">
        <v>632</v>
      </c>
      <c r="D103" s="6" t="s">
        <v>95</v>
      </c>
      <c r="E103" s="6" t="s">
        <v>1522</v>
      </c>
    </row>
    <row r="104" spans="1:5" ht="39.950000000000003" customHeight="1" x14ac:dyDescent="0.25">
      <c r="A104" s="6"/>
      <c r="B104" s="35" t="s">
        <v>1328</v>
      </c>
      <c r="C104" s="6" t="s">
        <v>638</v>
      </c>
      <c r="D104" s="6" t="s">
        <v>95</v>
      </c>
      <c r="E104" s="6" t="s">
        <v>1516</v>
      </c>
    </row>
    <row r="105" spans="1:5" ht="39.950000000000003" customHeight="1" x14ac:dyDescent="0.25">
      <c r="A105" s="6"/>
      <c r="B105" s="5" t="s">
        <v>1501</v>
      </c>
      <c r="C105" s="6" t="s">
        <v>644</v>
      </c>
      <c r="D105" s="6"/>
      <c r="E105" s="6" t="s">
        <v>1523</v>
      </c>
    </row>
    <row r="106" spans="1:5" ht="48.95" customHeight="1" x14ac:dyDescent="0.25">
      <c r="A106" s="6"/>
      <c r="B106" s="35" t="s">
        <v>1334</v>
      </c>
      <c r="C106" s="6" t="s">
        <v>1477</v>
      </c>
      <c r="D106" s="6" t="s">
        <v>95</v>
      </c>
      <c r="E106" s="6" t="s">
        <v>1517</v>
      </c>
    </row>
    <row r="107" spans="1:5" ht="48.95" customHeight="1" x14ac:dyDescent="0.25">
      <c r="A107" s="6"/>
      <c r="B107" s="35" t="s">
        <v>1334</v>
      </c>
      <c r="C107" s="6" t="s">
        <v>1478</v>
      </c>
      <c r="D107" s="6" t="s">
        <v>95</v>
      </c>
      <c r="E107" s="6" t="s">
        <v>1517</v>
      </c>
    </row>
    <row r="108" spans="1:5" ht="39.950000000000003" customHeight="1" x14ac:dyDescent="0.25">
      <c r="A108" s="6"/>
      <c r="B108" s="35" t="s">
        <v>1298</v>
      </c>
      <c r="C108" s="6" t="s">
        <v>654</v>
      </c>
      <c r="D108" s="6" t="s">
        <v>95</v>
      </c>
      <c r="E108" s="6" t="s">
        <v>1504</v>
      </c>
    </row>
    <row r="109" spans="1:5" ht="48.95" customHeight="1" x14ac:dyDescent="0.25">
      <c r="A109" s="6"/>
      <c r="B109" s="35" t="s">
        <v>1228</v>
      </c>
      <c r="C109" s="6" t="s">
        <v>1320</v>
      </c>
      <c r="D109" s="6" t="s">
        <v>95</v>
      </c>
      <c r="E109" s="6" t="s">
        <v>1518</v>
      </c>
    </row>
    <row r="110" spans="1:5" ht="39.950000000000003" customHeight="1" x14ac:dyDescent="0.25">
      <c r="A110" s="6"/>
      <c r="B110" s="35" t="s">
        <v>1230</v>
      </c>
      <c r="C110" s="6" t="s">
        <v>1320</v>
      </c>
      <c r="D110" s="6" t="s">
        <v>95</v>
      </c>
      <c r="E110" s="6" t="s">
        <v>1519</v>
      </c>
    </row>
    <row r="112" spans="1:5" ht="21.95" customHeight="1" x14ac:dyDescent="0.25">
      <c r="A112" s="54" t="s">
        <v>1524</v>
      </c>
      <c r="B112" s="55"/>
      <c r="C112" s="55"/>
      <c r="D112" s="55"/>
      <c r="E112" s="55"/>
    </row>
    <row r="113" spans="1:5" ht="21.95" customHeight="1" x14ac:dyDescent="0.25">
      <c r="A113" s="4"/>
      <c r="B113" s="4" t="s">
        <v>841</v>
      </c>
      <c r="C113" s="4" t="s">
        <v>209</v>
      </c>
      <c r="D113" s="4" t="s">
        <v>1454</v>
      </c>
      <c r="E113" s="4" t="s">
        <v>1430</v>
      </c>
    </row>
    <row r="114" spans="1:5" ht="32.1" customHeight="1" x14ac:dyDescent="0.25">
      <c r="A114" s="6"/>
      <c r="B114" s="5" t="s">
        <v>1251</v>
      </c>
      <c r="C114" s="6" t="s">
        <v>1456</v>
      </c>
      <c r="D114" s="6"/>
      <c r="E114" s="6" t="s">
        <v>1483</v>
      </c>
    </row>
    <row r="115" spans="1:5" ht="32.1" customHeight="1" x14ac:dyDescent="0.25">
      <c r="A115" s="6"/>
      <c r="B115" s="5" t="s">
        <v>1484</v>
      </c>
      <c r="C115" s="6" t="s">
        <v>1456</v>
      </c>
      <c r="D115" s="6"/>
      <c r="E115" s="6" t="s">
        <v>1485</v>
      </c>
    </row>
    <row r="116" spans="1:5" ht="32.1" customHeight="1" x14ac:dyDescent="0.25">
      <c r="A116" s="6"/>
      <c r="B116" s="5" t="s">
        <v>1486</v>
      </c>
      <c r="C116" s="6" t="s">
        <v>1456</v>
      </c>
      <c r="D116" s="6"/>
      <c r="E116" s="6" t="s">
        <v>1487</v>
      </c>
    </row>
    <row r="117" spans="1:5" ht="32.1" customHeight="1" x14ac:dyDescent="0.25">
      <c r="A117" s="6"/>
      <c r="B117" s="5" t="s">
        <v>1247</v>
      </c>
      <c r="C117" s="6" t="s">
        <v>1456</v>
      </c>
      <c r="D117" s="6"/>
      <c r="E117" s="6" t="s">
        <v>1511</v>
      </c>
    </row>
    <row r="118" spans="1:5" ht="32.1" customHeight="1" x14ac:dyDescent="0.25">
      <c r="A118" s="6"/>
      <c r="B118" s="39" t="s">
        <v>1525</v>
      </c>
      <c r="C118" s="6" t="s">
        <v>1456</v>
      </c>
      <c r="D118" s="6" t="s">
        <v>1457</v>
      </c>
      <c r="E118" s="6" t="s">
        <v>1526</v>
      </c>
    </row>
    <row r="119" spans="1:5" ht="32.1" customHeight="1" x14ac:dyDescent="0.25">
      <c r="A119" s="6"/>
      <c r="B119" s="5" t="s">
        <v>1249</v>
      </c>
      <c r="C119" s="6" t="s">
        <v>1456</v>
      </c>
      <c r="D119" s="6"/>
      <c r="E119" s="6" t="s">
        <v>1488</v>
      </c>
    </row>
    <row r="120" spans="1:5" ht="32.1" customHeight="1" x14ac:dyDescent="0.25">
      <c r="A120" s="6"/>
      <c r="B120" s="5" t="s">
        <v>831</v>
      </c>
      <c r="C120" s="6" t="s">
        <v>1456</v>
      </c>
      <c r="D120" s="6"/>
      <c r="E120" s="6" t="s">
        <v>1489</v>
      </c>
    </row>
    <row r="121" spans="1:5" ht="32.1" customHeight="1" x14ac:dyDescent="0.25">
      <c r="A121" s="6"/>
      <c r="B121" s="5" t="s">
        <v>1512</v>
      </c>
      <c r="C121" s="6" t="s">
        <v>1456</v>
      </c>
      <c r="D121" s="6"/>
      <c r="E121" s="6" t="s">
        <v>1513</v>
      </c>
    </row>
    <row r="122" spans="1:5" ht="32.1" customHeight="1" x14ac:dyDescent="0.25">
      <c r="A122" s="6"/>
      <c r="B122" s="5" t="s">
        <v>840</v>
      </c>
      <c r="C122" s="6" t="s">
        <v>1456</v>
      </c>
      <c r="D122" s="6"/>
      <c r="E122" s="6" t="s">
        <v>1514</v>
      </c>
    </row>
    <row r="123" spans="1:5" ht="32.1" customHeight="1" x14ac:dyDescent="0.25">
      <c r="A123" s="6"/>
      <c r="B123" s="5" t="s">
        <v>1254</v>
      </c>
      <c r="C123" s="6" t="s">
        <v>1456</v>
      </c>
      <c r="D123" s="6"/>
      <c r="E123" s="6" t="s">
        <v>1490</v>
      </c>
    </row>
    <row r="124" spans="1:5" ht="32.1" customHeight="1" x14ac:dyDescent="0.25">
      <c r="A124" s="6"/>
      <c r="B124" s="5" t="s">
        <v>1255</v>
      </c>
      <c r="C124" s="6" t="s">
        <v>1456</v>
      </c>
      <c r="D124" s="6"/>
      <c r="E124" s="6" t="s">
        <v>1491</v>
      </c>
    </row>
    <row r="125" spans="1:5" ht="21.95" customHeight="1" x14ac:dyDescent="0.25">
      <c r="A125" s="13"/>
      <c r="B125" s="13" t="s">
        <v>1492</v>
      </c>
      <c r="C125" s="13" t="s">
        <v>604</v>
      </c>
      <c r="D125" s="13" t="s">
        <v>1464</v>
      </c>
      <c r="E125" s="13" t="s">
        <v>1465</v>
      </c>
    </row>
    <row r="126" spans="1:5" ht="39.950000000000003" customHeight="1" x14ac:dyDescent="0.25">
      <c r="A126" s="6"/>
      <c r="B126" s="35" t="s">
        <v>1201</v>
      </c>
      <c r="C126" s="6" t="s">
        <v>1467</v>
      </c>
      <c r="D126" s="6" t="s">
        <v>95</v>
      </c>
      <c r="E126" s="6" t="s">
        <v>1515</v>
      </c>
    </row>
    <row r="127" spans="1:5" ht="39.950000000000003" customHeight="1" x14ac:dyDescent="0.25">
      <c r="A127" s="6"/>
      <c r="B127" s="5" t="s">
        <v>1294</v>
      </c>
      <c r="C127" s="6" t="s">
        <v>1470</v>
      </c>
      <c r="D127" s="6"/>
      <c r="E127" s="6" t="s">
        <v>1493</v>
      </c>
    </row>
    <row r="128" spans="1:5" ht="39.950000000000003" customHeight="1" x14ac:dyDescent="0.25">
      <c r="A128" s="6"/>
      <c r="B128" s="5" t="s">
        <v>1527</v>
      </c>
      <c r="C128" s="6" t="s">
        <v>620</v>
      </c>
      <c r="D128" s="6"/>
      <c r="E128" s="6" t="s">
        <v>1528</v>
      </c>
    </row>
    <row r="129" spans="1:5" ht="48.95" customHeight="1" x14ac:dyDescent="0.25">
      <c r="A129" s="6"/>
      <c r="B129" s="35" t="s">
        <v>1324</v>
      </c>
      <c r="C129" s="6" t="s">
        <v>626</v>
      </c>
      <c r="D129" s="6" t="s">
        <v>95</v>
      </c>
      <c r="E129" s="6" t="s">
        <v>1521</v>
      </c>
    </row>
    <row r="130" spans="1:5" ht="39.950000000000003" customHeight="1" x14ac:dyDescent="0.25">
      <c r="A130" s="6"/>
      <c r="B130" s="5" t="s">
        <v>1498</v>
      </c>
      <c r="C130" s="6" t="s">
        <v>632</v>
      </c>
      <c r="D130" s="6"/>
      <c r="E130" s="6" t="s">
        <v>1499</v>
      </c>
    </row>
    <row r="131" spans="1:5" ht="39.950000000000003" customHeight="1" x14ac:dyDescent="0.25">
      <c r="A131" s="6"/>
      <c r="B131" s="35" t="s">
        <v>1328</v>
      </c>
      <c r="C131" s="6" t="s">
        <v>638</v>
      </c>
      <c r="D131" s="6" t="s">
        <v>95</v>
      </c>
      <c r="E131" s="6" t="s">
        <v>1516</v>
      </c>
    </row>
    <row r="132" spans="1:5" ht="39.950000000000003" customHeight="1" x14ac:dyDescent="0.25">
      <c r="A132" s="6"/>
      <c r="B132" s="5" t="s">
        <v>1501</v>
      </c>
      <c r="C132" s="6" t="s">
        <v>644</v>
      </c>
      <c r="D132" s="6"/>
      <c r="E132" s="6" t="s">
        <v>1502</v>
      </c>
    </row>
    <row r="133" spans="1:5" ht="48.95" customHeight="1" x14ac:dyDescent="0.25">
      <c r="A133" s="6"/>
      <c r="B133" s="35" t="s">
        <v>1334</v>
      </c>
      <c r="C133" s="6" t="s">
        <v>1477</v>
      </c>
      <c r="D133" s="6" t="s">
        <v>95</v>
      </c>
      <c r="E133" s="6" t="s">
        <v>1517</v>
      </c>
    </row>
    <row r="134" spans="1:5" ht="48.95" customHeight="1" x14ac:dyDescent="0.25">
      <c r="A134" s="6"/>
      <c r="B134" s="35" t="s">
        <v>1334</v>
      </c>
      <c r="C134" s="6" t="s">
        <v>1478</v>
      </c>
      <c r="D134" s="6" t="s">
        <v>95</v>
      </c>
      <c r="E134" s="6" t="s">
        <v>1517</v>
      </c>
    </row>
    <row r="135" spans="1:5" ht="39.950000000000003" customHeight="1" x14ac:dyDescent="0.25">
      <c r="A135" s="6"/>
      <c r="B135" s="35" t="s">
        <v>1287</v>
      </c>
      <c r="C135" s="6" t="s">
        <v>654</v>
      </c>
      <c r="D135" s="6" t="s">
        <v>95</v>
      </c>
      <c r="E135" s="6" t="s">
        <v>1529</v>
      </c>
    </row>
    <row r="136" spans="1:5" ht="48.95" customHeight="1" x14ac:dyDescent="0.25">
      <c r="A136" s="6"/>
      <c r="B136" s="35" t="s">
        <v>1228</v>
      </c>
      <c r="C136" s="6" t="s">
        <v>1320</v>
      </c>
      <c r="D136" s="6" t="s">
        <v>95</v>
      </c>
      <c r="E136" s="6" t="s">
        <v>1518</v>
      </c>
    </row>
    <row r="137" spans="1:5" ht="39.950000000000003" customHeight="1" x14ac:dyDescent="0.25">
      <c r="A137" s="6"/>
      <c r="B137" s="35" t="s">
        <v>1230</v>
      </c>
      <c r="C137" s="6" t="s">
        <v>1320</v>
      </c>
      <c r="D137" s="6" t="s">
        <v>95</v>
      </c>
      <c r="E137" s="6" t="s">
        <v>1519</v>
      </c>
    </row>
    <row r="138" spans="1:5" ht="21.95" customHeight="1" x14ac:dyDescent="0.25">
      <c r="A138" s="13"/>
      <c r="B138" s="13" t="s">
        <v>1505</v>
      </c>
      <c r="C138" s="13" t="s">
        <v>604</v>
      </c>
      <c r="D138" s="13" t="s">
        <v>1464</v>
      </c>
      <c r="E138" s="13" t="s">
        <v>1465</v>
      </c>
    </row>
    <row r="139" spans="1:5" ht="63.95" customHeight="1" x14ac:dyDescent="0.25">
      <c r="A139" s="6"/>
      <c r="B139" s="35" t="s">
        <v>1202</v>
      </c>
      <c r="C139" s="6" t="s">
        <v>1467</v>
      </c>
      <c r="D139" s="6" t="s">
        <v>95</v>
      </c>
      <c r="E139" s="6" t="s">
        <v>1506</v>
      </c>
    </row>
    <row r="140" spans="1:5" ht="39.950000000000003" customHeight="1" x14ac:dyDescent="0.25">
      <c r="A140" s="6"/>
      <c r="B140" s="5" t="s">
        <v>1294</v>
      </c>
      <c r="C140" s="6" t="s">
        <v>1470</v>
      </c>
      <c r="D140" s="6"/>
      <c r="E140" s="6" t="s">
        <v>1493</v>
      </c>
    </row>
    <row r="141" spans="1:5" ht="63.95" customHeight="1" x14ac:dyDescent="0.25">
      <c r="A141" s="6"/>
      <c r="B141" s="35" t="s">
        <v>1316</v>
      </c>
      <c r="C141" s="6" t="s">
        <v>620</v>
      </c>
      <c r="D141" s="6" t="s">
        <v>95</v>
      </c>
      <c r="E141" s="6" t="s">
        <v>1520</v>
      </c>
    </row>
    <row r="142" spans="1:5" ht="48.95" customHeight="1" x14ac:dyDescent="0.25">
      <c r="A142" s="6"/>
      <c r="B142" s="35" t="s">
        <v>1324</v>
      </c>
      <c r="C142" s="6" t="s">
        <v>626</v>
      </c>
      <c r="D142" s="6" t="s">
        <v>95</v>
      </c>
      <c r="E142" s="6" t="s">
        <v>1521</v>
      </c>
    </row>
    <row r="143" spans="1:5" ht="39.950000000000003" customHeight="1" x14ac:dyDescent="0.25">
      <c r="A143" s="6"/>
      <c r="B143" s="35" t="s">
        <v>1309</v>
      </c>
      <c r="C143" s="6" t="s">
        <v>632</v>
      </c>
      <c r="D143" s="6" t="s">
        <v>95</v>
      </c>
      <c r="E143" s="6" t="s">
        <v>1522</v>
      </c>
    </row>
    <row r="144" spans="1:5" ht="39.950000000000003" customHeight="1" x14ac:dyDescent="0.25">
      <c r="A144" s="6"/>
      <c r="B144" s="35" t="s">
        <v>1328</v>
      </c>
      <c r="C144" s="6" t="s">
        <v>638</v>
      </c>
      <c r="D144" s="6" t="s">
        <v>95</v>
      </c>
      <c r="E144" s="6" t="s">
        <v>1516</v>
      </c>
    </row>
    <row r="145" spans="1:5" ht="39.950000000000003" customHeight="1" x14ac:dyDescent="0.25">
      <c r="A145" s="6"/>
      <c r="B145" s="5" t="s">
        <v>1501</v>
      </c>
      <c r="C145" s="6" t="s">
        <v>644</v>
      </c>
      <c r="D145" s="6"/>
      <c r="E145" s="6" t="s">
        <v>1523</v>
      </c>
    </row>
    <row r="146" spans="1:5" ht="48.95" customHeight="1" x14ac:dyDescent="0.25">
      <c r="A146" s="6"/>
      <c r="B146" s="35" t="s">
        <v>1334</v>
      </c>
      <c r="C146" s="6" t="s">
        <v>1477</v>
      </c>
      <c r="D146" s="6" t="s">
        <v>95</v>
      </c>
      <c r="E146" s="6" t="s">
        <v>1517</v>
      </c>
    </row>
    <row r="147" spans="1:5" ht="48.95" customHeight="1" x14ac:dyDescent="0.25">
      <c r="A147" s="6"/>
      <c r="B147" s="35" t="s">
        <v>1334</v>
      </c>
      <c r="C147" s="6" t="s">
        <v>1478</v>
      </c>
      <c r="D147" s="6" t="s">
        <v>95</v>
      </c>
      <c r="E147" s="6" t="s">
        <v>1517</v>
      </c>
    </row>
    <row r="148" spans="1:5" ht="39.950000000000003" customHeight="1" x14ac:dyDescent="0.25">
      <c r="A148" s="6"/>
      <c r="B148" s="35" t="s">
        <v>1298</v>
      </c>
      <c r="C148" s="6" t="s">
        <v>654</v>
      </c>
      <c r="D148" s="6" t="s">
        <v>95</v>
      </c>
      <c r="E148" s="6" t="s">
        <v>1504</v>
      </c>
    </row>
    <row r="149" spans="1:5" ht="48.95" customHeight="1" x14ac:dyDescent="0.25">
      <c r="A149" s="6"/>
      <c r="B149" s="35" t="s">
        <v>1228</v>
      </c>
      <c r="C149" s="6" t="s">
        <v>1320</v>
      </c>
      <c r="D149" s="6" t="s">
        <v>95</v>
      </c>
      <c r="E149" s="6" t="s">
        <v>1518</v>
      </c>
    </row>
    <row r="150" spans="1:5" ht="39.950000000000003" customHeight="1" x14ac:dyDescent="0.25">
      <c r="A150" s="6"/>
      <c r="B150" s="35" t="s">
        <v>1230</v>
      </c>
      <c r="C150" s="6" t="s">
        <v>1320</v>
      </c>
      <c r="D150" s="6" t="s">
        <v>95</v>
      </c>
      <c r="E150" s="6" t="s">
        <v>1519</v>
      </c>
    </row>
    <row r="152" spans="1:5" ht="21.95" customHeight="1" x14ac:dyDescent="0.25">
      <c r="A152" s="54" t="s">
        <v>1530</v>
      </c>
      <c r="B152" s="55"/>
      <c r="C152" s="55"/>
      <c r="D152" s="55"/>
      <c r="E152" s="55"/>
    </row>
    <row r="153" spans="1:5" ht="21.95" customHeight="1" x14ac:dyDescent="0.25">
      <c r="A153" s="4"/>
      <c r="B153" s="4" t="s">
        <v>841</v>
      </c>
      <c r="C153" s="4" t="s">
        <v>209</v>
      </c>
      <c r="D153" s="4" t="s">
        <v>1454</v>
      </c>
      <c r="E153" s="4" t="s">
        <v>1430</v>
      </c>
    </row>
    <row r="154" spans="1:5" ht="32.1" customHeight="1" x14ac:dyDescent="0.25">
      <c r="A154" s="6"/>
      <c r="B154" s="5" t="s">
        <v>1251</v>
      </c>
      <c r="C154" s="6" t="s">
        <v>1456</v>
      </c>
      <c r="D154" s="6"/>
      <c r="E154" s="6" t="s">
        <v>1483</v>
      </c>
    </row>
    <row r="155" spans="1:5" ht="32.1" customHeight="1" x14ac:dyDescent="0.25">
      <c r="A155" s="6"/>
      <c r="B155" s="5" t="s">
        <v>1484</v>
      </c>
      <c r="C155" s="6" t="s">
        <v>1456</v>
      </c>
      <c r="D155" s="6"/>
      <c r="E155" s="6" t="s">
        <v>1485</v>
      </c>
    </row>
    <row r="156" spans="1:5" ht="32.1" customHeight="1" x14ac:dyDescent="0.25">
      <c r="A156" s="6"/>
      <c r="B156" s="5" t="s">
        <v>1486</v>
      </c>
      <c r="C156" s="6" t="s">
        <v>1456</v>
      </c>
      <c r="D156" s="6"/>
      <c r="E156" s="6" t="s">
        <v>1487</v>
      </c>
    </row>
    <row r="157" spans="1:5" ht="32.1" customHeight="1" x14ac:dyDescent="0.25">
      <c r="A157" s="6"/>
      <c r="B157" s="39" t="s">
        <v>1258</v>
      </c>
      <c r="C157" s="6" t="s">
        <v>1456</v>
      </c>
      <c r="D157" s="6" t="s">
        <v>1457</v>
      </c>
      <c r="E157" s="6" t="s">
        <v>1531</v>
      </c>
    </row>
    <row r="158" spans="1:5" ht="32.1" customHeight="1" x14ac:dyDescent="0.25">
      <c r="A158" s="6"/>
      <c r="B158" s="39" t="s">
        <v>1259</v>
      </c>
      <c r="C158" s="6" t="s">
        <v>1456</v>
      </c>
      <c r="D158" s="6" t="s">
        <v>1457</v>
      </c>
      <c r="E158" s="6" t="s">
        <v>1532</v>
      </c>
    </row>
    <row r="159" spans="1:5" ht="32.1" customHeight="1" x14ac:dyDescent="0.25">
      <c r="A159" s="6"/>
      <c r="B159" s="5" t="s">
        <v>1247</v>
      </c>
      <c r="C159" s="6" t="s">
        <v>1456</v>
      </c>
      <c r="D159" s="6"/>
      <c r="E159" s="6" t="s">
        <v>1511</v>
      </c>
    </row>
    <row r="160" spans="1:5" ht="32.1" customHeight="1" x14ac:dyDescent="0.25">
      <c r="A160" s="6"/>
      <c r="B160" s="39" t="s">
        <v>1533</v>
      </c>
      <c r="C160" s="6" t="s">
        <v>1456</v>
      </c>
      <c r="D160" s="6" t="s">
        <v>1457</v>
      </c>
      <c r="E160" s="6" t="s">
        <v>1534</v>
      </c>
    </row>
    <row r="161" spans="1:5" ht="32.1" customHeight="1" x14ac:dyDescent="0.25">
      <c r="A161" s="6"/>
      <c r="B161" s="5" t="s">
        <v>1525</v>
      </c>
      <c r="C161" s="6" t="s">
        <v>1456</v>
      </c>
      <c r="D161" s="6"/>
      <c r="E161" s="6" t="s">
        <v>1526</v>
      </c>
    </row>
    <row r="162" spans="1:5" ht="32.1" customHeight="1" x14ac:dyDescent="0.25">
      <c r="A162" s="6"/>
      <c r="B162" s="5" t="s">
        <v>1249</v>
      </c>
      <c r="C162" s="6" t="s">
        <v>1456</v>
      </c>
      <c r="D162" s="6"/>
      <c r="E162" s="6" t="s">
        <v>1488</v>
      </c>
    </row>
    <row r="163" spans="1:5" ht="32.1" customHeight="1" x14ac:dyDescent="0.25">
      <c r="A163" s="6"/>
      <c r="B163" s="5" t="s">
        <v>831</v>
      </c>
      <c r="C163" s="6" t="s">
        <v>1456</v>
      </c>
      <c r="D163" s="6"/>
      <c r="E163" s="6" t="s">
        <v>1489</v>
      </c>
    </row>
    <row r="164" spans="1:5" ht="32.1" customHeight="1" x14ac:dyDescent="0.25">
      <c r="A164" s="6"/>
      <c r="B164" s="39" t="s">
        <v>1535</v>
      </c>
      <c r="C164" s="6" t="s">
        <v>1456</v>
      </c>
      <c r="D164" s="6" t="s">
        <v>1457</v>
      </c>
      <c r="E164" s="6" t="s">
        <v>1536</v>
      </c>
    </row>
    <row r="165" spans="1:5" ht="32.1" customHeight="1" x14ac:dyDescent="0.25">
      <c r="A165" s="6"/>
      <c r="B165" s="39" t="s">
        <v>1537</v>
      </c>
      <c r="C165" s="6" t="s">
        <v>1456</v>
      </c>
      <c r="D165" s="6" t="s">
        <v>1457</v>
      </c>
      <c r="E165" s="6" t="s">
        <v>1538</v>
      </c>
    </row>
    <row r="166" spans="1:5" ht="32.1" customHeight="1" x14ac:dyDescent="0.25">
      <c r="A166" s="6"/>
      <c r="B166" s="39" t="s">
        <v>1539</v>
      </c>
      <c r="C166" s="6" t="s">
        <v>1456</v>
      </c>
      <c r="D166" s="6" t="s">
        <v>1457</v>
      </c>
      <c r="E166" s="6" t="s">
        <v>1540</v>
      </c>
    </row>
    <row r="167" spans="1:5" ht="32.1" customHeight="1" x14ac:dyDescent="0.25">
      <c r="A167" s="6"/>
      <c r="B167" s="39" t="s">
        <v>872</v>
      </c>
      <c r="C167" s="6" t="s">
        <v>1456</v>
      </c>
      <c r="D167" s="6" t="s">
        <v>1457</v>
      </c>
      <c r="E167" s="6" t="s">
        <v>1541</v>
      </c>
    </row>
    <row r="168" spans="1:5" ht="32.1" customHeight="1" x14ac:dyDescent="0.25">
      <c r="A168" s="6"/>
      <c r="B168" s="5" t="s">
        <v>1512</v>
      </c>
      <c r="C168" s="6" t="s">
        <v>1456</v>
      </c>
      <c r="D168" s="6"/>
      <c r="E168" s="6" t="s">
        <v>1513</v>
      </c>
    </row>
    <row r="169" spans="1:5" ht="32.1" customHeight="1" x14ac:dyDescent="0.25">
      <c r="A169" s="6"/>
      <c r="B169" s="5" t="s">
        <v>840</v>
      </c>
      <c r="C169" s="6" t="s">
        <v>1456</v>
      </c>
      <c r="D169" s="6"/>
      <c r="E169" s="6" t="s">
        <v>1514</v>
      </c>
    </row>
    <row r="170" spans="1:5" ht="32.1" customHeight="1" x14ac:dyDescent="0.25">
      <c r="A170" s="6"/>
      <c r="B170" s="5" t="s">
        <v>1254</v>
      </c>
      <c r="C170" s="6" t="s">
        <v>1456</v>
      </c>
      <c r="D170" s="6"/>
      <c r="E170" s="6" t="s">
        <v>1490</v>
      </c>
    </row>
    <row r="171" spans="1:5" ht="32.1" customHeight="1" x14ac:dyDescent="0.25">
      <c r="A171" s="6"/>
      <c r="B171" s="5" t="s">
        <v>1255</v>
      </c>
      <c r="C171" s="6" t="s">
        <v>1456</v>
      </c>
      <c r="D171" s="6"/>
      <c r="E171" s="6" t="s">
        <v>1491</v>
      </c>
    </row>
    <row r="172" spans="1:5" ht="21.95" customHeight="1" x14ac:dyDescent="0.25">
      <c r="A172" s="13"/>
      <c r="B172" s="13" t="s">
        <v>1492</v>
      </c>
      <c r="C172" s="13" t="s">
        <v>604</v>
      </c>
      <c r="D172" s="13" t="s">
        <v>1464</v>
      </c>
      <c r="E172" s="13" t="s">
        <v>1465</v>
      </c>
    </row>
    <row r="173" spans="1:5" ht="48.95" customHeight="1" x14ac:dyDescent="0.25">
      <c r="A173" s="6"/>
      <c r="B173" s="35" t="s">
        <v>1201</v>
      </c>
      <c r="C173" s="6" t="s">
        <v>1467</v>
      </c>
      <c r="D173" s="6" t="s">
        <v>95</v>
      </c>
      <c r="E173" s="6" t="s">
        <v>1542</v>
      </c>
    </row>
    <row r="174" spans="1:5" ht="39.950000000000003" customHeight="1" x14ac:dyDescent="0.25">
      <c r="A174" s="6"/>
      <c r="B174" s="5" t="s">
        <v>1294</v>
      </c>
      <c r="C174" s="6" t="s">
        <v>1470</v>
      </c>
      <c r="D174" s="6"/>
      <c r="E174" s="6" t="s">
        <v>1493</v>
      </c>
    </row>
    <row r="175" spans="1:5" ht="39.950000000000003" customHeight="1" x14ac:dyDescent="0.25">
      <c r="A175" s="6"/>
      <c r="B175" s="5" t="s">
        <v>1527</v>
      </c>
      <c r="C175" s="6" t="s">
        <v>620</v>
      </c>
      <c r="D175" s="6"/>
      <c r="E175" s="6" t="s">
        <v>1543</v>
      </c>
    </row>
    <row r="176" spans="1:5" ht="39.950000000000003" customHeight="1" x14ac:dyDescent="0.25">
      <c r="A176" s="6"/>
      <c r="B176" s="5" t="s">
        <v>1544</v>
      </c>
      <c r="C176" s="6" t="s">
        <v>626</v>
      </c>
      <c r="D176" s="6"/>
      <c r="E176" s="6" t="s">
        <v>1545</v>
      </c>
    </row>
    <row r="177" spans="1:5" ht="39.950000000000003" customHeight="1" x14ac:dyDescent="0.25">
      <c r="A177" s="6"/>
      <c r="B177" s="5" t="s">
        <v>1546</v>
      </c>
      <c r="C177" s="6" t="s">
        <v>632</v>
      </c>
      <c r="D177" s="6"/>
      <c r="E177" s="6" t="s">
        <v>1499</v>
      </c>
    </row>
    <row r="178" spans="1:5" ht="39.950000000000003" customHeight="1" x14ac:dyDescent="0.25">
      <c r="A178" s="6"/>
      <c r="B178" s="5" t="s">
        <v>1547</v>
      </c>
      <c r="C178" s="6" t="s">
        <v>638</v>
      </c>
      <c r="D178" s="6"/>
      <c r="E178" s="6" t="s">
        <v>1548</v>
      </c>
    </row>
    <row r="179" spans="1:5" ht="39.950000000000003" customHeight="1" x14ac:dyDescent="0.25">
      <c r="A179" s="6"/>
      <c r="B179" s="5" t="s">
        <v>1501</v>
      </c>
      <c r="C179" s="6" t="s">
        <v>644</v>
      </c>
      <c r="D179" s="6"/>
      <c r="E179" s="6" t="s">
        <v>1523</v>
      </c>
    </row>
    <row r="180" spans="1:5" ht="48.95" customHeight="1" x14ac:dyDescent="0.25">
      <c r="A180" s="6"/>
      <c r="B180" s="35" t="s">
        <v>1334</v>
      </c>
      <c r="C180" s="6" t="s">
        <v>1477</v>
      </c>
      <c r="D180" s="6" t="s">
        <v>95</v>
      </c>
      <c r="E180" s="6" t="s">
        <v>1517</v>
      </c>
    </row>
    <row r="181" spans="1:5" ht="48.95" customHeight="1" x14ac:dyDescent="0.25">
      <c r="A181" s="6"/>
      <c r="B181" s="35" t="s">
        <v>1334</v>
      </c>
      <c r="C181" s="6" t="s">
        <v>1478</v>
      </c>
      <c r="D181" s="6" t="s">
        <v>95</v>
      </c>
      <c r="E181" s="6" t="s">
        <v>1517</v>
      </c>
    </row>
    <row r="182" spans="1:5" ht="39.950000000000003" customHeight="1" x14ac:dyDescent="0.25">
      <c r="A182" s="6"/>
      <c r="B182" s="5" t="s">
        <v>1549</v>
      </c>
      <c r="C182" s="6" t="s">
        <v>654</v>
      </c>
      <c r="D182" s="6"/>
      <c r="E182" s="6" t="s">
        <v>1499</v>
      </c>
    </row>
    <row r="183" spans="1:5" ht="48.95" customHeight="1" x14ac:dyDescent="0.25">
      <c r="A183" s="6"/>
      <c r="B183" s="35" t="s">
        <v>1228</v>
      </c>
      <c r="C183" s="6" t="s">
        <v>1320</v>
      </c>
      <c r="D183" s="6" t="s">
        <v>95</v>
      </c>
      <c r="E183" s="6" t="s">
        <v>1518</v>
      </c>
    </row>
    <row r="184" spans="1:5" ht="39.950000000000003" customHeight="1" x14ac:dyDescent="0.25">
      <c r="A184" s="6"/>
      <c r="B184" s="35" t="s">
        <v>1230</v>
      </c>
      <c r="C184" s="6" t="s">
        <v>1320</v>
      </c>
      <c r="D184" s="6" t="s">
        <v>95</v>
      </c>
      <c r="E184" s="6" t="s">
        <v>1519</v>
      </c>
    </row>
    <row r="185" spans="1:5" ht="21.95" customHeight="1" x14ac:dyDescent="0.25">
      <c r="A185" s="13"/>
      <c r="B185" s="13" t="s">
        <v>1505</v>
      </c>
      <c r="C185" s="13" t="s">
        <v>604</v>
      </c>
      <c r="D185" s="13" t="s">
        <v>1464</v>
      </c>
      <c r="E185" s="13" t="s">
        <v>1465</v>
      </c>
    </row>
    <row r="186" spans="1:5" ht="78.95" customHeight="1" x14ac:dyDescent="0.25">
      <c r="A186" s="6"/>
      <c r="B186" s="35" t="s">
        <v>1202</v>
      </c>
      <c r="C186" s="6" t="s">
        <v>1467</v>
      </c>
      <c r="D186" s="6" t="s">
        <v>95</v>
      </c>
      <c r="E186" s="6" t="s">
        <v>1550</v>
      </c>
    </row>
    <row r="187" spans="1:5" ht="39.950000000000003" customHeight="1" x14ac:dyDescent="0.25">
      <c r="A187" s="6"/>
      <c r="B187" s="5" t="s">
        <v>1294</v>
      </c>
      <c r="C187" s="6" t="s">
        <v>1470</v>
      </c>
      <c r="D187" s="6"/>
      <c r="E187" s="6" t="s">
        <v>1493</v>
      </c>
    </row>
    <row r="188" spans="1:5" ht="63.95" customHeight="1" x14ac:dyDescent="0.25">
      <c r="A188" s="6"/>
      <c r="B188" s="35" t="s">
        <v>1316</v>
      </c>
      <c r="C188" s="6" t="s">
        <v>620</v>
      </c>
      <c r="D188" s="6" t="s">
        <v>95</v>
      </c>
      <c r="E188" s="6" t="s">
        <v>1520</v>
      </c>
    </row>
    <row r="189" spans="1:5" ht="39.950000000000003" customHeight="1" x14ac:dyDescent="0.25">
      <c r="A189" s="6"/>
      <c r="B189" s="5" t="s">
        <v>1544</v>
      </c>
      <c r="C189" s="6" t="s">
        <v>626</v>
      </c>
      <c r="D189" s="6"/>
      <c r="E189" s="6" t="s">
        <v>1545</v>
      </c>
    </row>
    <row r="190" spans="1:5" ht="39.950000000000003" customHeight="1" x14ac:dyDescent="0.25">
      <c r="A190" s="6"/>
      <c r="B190" s="35" t="s">
        <v>1309</v>
      </c>
      <c r="C190" s="6" t="s">
        <v>632</v>
      </c>
      <c r="D190" s="6" t="s">
        <v>95</v>
      </c>
      <c r="E190" s="6" t="s">
        <v>1522</v>
      </c>
    </row>
    <row r="191" spans="1:5" ht="39.950000000000003" customHeight="1" x14ac:dyDescent="0.25">
      <c r="A191" s="6"/>
      <c r="B191" s="5" t="s">
        <v>1551</v>
      </c>
      <c r="C191" s="6" t="s">
        <v>638</v>
      </c>
      <c r="D191" s="6"/>
      <c r="E191" s="6" t="s">
        <v>1552</v>
      </c>
    </row>
    <row r="192" spans="1:5" ht="39.950000000000003" customHeight="1" x14ac:dyDescent="0.25">
      <c r="A192" s="6"/>
      <c r="B192" s="5" t="s">
        <v>1501</v>
      </c>
      <c r="C192" s="6" t="s">
        <v>644</v>
      </c>
      <c r="D192" s="6"/>
      <c r="E192" s="6" t="s">
        <v>1553</v>
      </c>
    </row>
    <row r="193" spans="1:5" ht="48.95" customHeight="1" x14ac:dyDescent="0.25">
      <c r="A193" s="6"/>
      <c r="B193" s="35" t="s">
        <v>1334</v>
      </c>
      <c r="C193" s="6" t="s">
        <v>1477</v>
      </c>
      <c r="D193" s="6" t="s">
        <v>95</v>
      </c>
      <c r="E193" s="6" t="s">
        <v>1517</v>
      </c>
    </row>
    <row r="194" spans="1:5" ht="48.95" customHeight="1" x14ac:dyDescent="0.25">
      <c r="A194" s="6"/>
      <c r="B194" s="35" t="s">
        <v>1334</v>
      </c>
      <c r="C194" s="6" t="s">
        <v>1478</v>
      </c>
      <c r="D194" s="6" t="s">
        <v>95</v>
      </c>
      <c r="E194" s="6" t="s">
        <v>1517</v>
      </c>
    </row>
    <row r="195" spans="1:5" ht="39.950000000000003" customHeight="1" x14ac:dyDescent="0.25">
      <c r="A195" s="6"/>
      <c r="B195" s="5" t="s">
        <v>1554</v>
      </c>
      <c r="C195" s="6" t="s">
        <v>654</v>
      </c>
      <c r="D195" s="6"/>
      <c r="E195" s="6" t="s">
        <v>1499</v>
      </c>
    </row>
    <row r="196" spans="1:5" ht="48.95" customHeight="1" x14ac:dyDescent="0.25">
      <c r="A196" s="6"/>
      <c r="B196" s="35" t="s">
        <v>1228</v>
      </c>
      <c r="C196" s="6" t="s">
        <v>1320</v>
      </c>
      <c r="D196" s="6" t="s">
        <v>95</v>
      </c>
      <c r="E196" s="6" t="s">
        <v>1518</v>
      </c>
    </row>
    <row r="197" spans="1:5" ht="39.950000000000003" customHeight="1" x14ac:dyDescent="0.25">
      <c r="A197" s="6"/>
      <c r="B197" s="35" t="s">
        <v>1230</v>
      </c>
      <c r="C197" s="6" t="s">
        <v>1320</v>
      </c>
      <c r="D197" s="6" t="s">
        <v>95</v>
      </c>
      <c r="E197" s="6" t="s">
        <v>1519</v>
      </c>
    </row>
    <row r="199" spans="1:5" ht="21.95" customHeight="1" x14ac:dyDescent="0.25">
      <c r="A199" s="54" t="s">
        <v>1555</v>
      </c>
      <c r="B199" s="55"/>
      <c r="C199" s="55"/>
      <c r="D199" s="55"/>
      <c r="E199" s="55"/>
    </row>
    <row r="200" spans="1:5" ht="21.95" customHeight="1" x14ac:dyDescent="0.25">
      <c r="A200" s="4"/>
      <c r="B200" s="4" t="s">
        <v>841</v>
      </c>
      <c r="C200" s="4" t="s">
        <v>209</v>
      </c>
      <c r="D200" s="4" t="s">
        <v>1454</v>
      </c>
      <c r="E200" s="4" t="s">
        <v>1430</v>
      </c>
    </row>
    <row r="201" spans="1:5" ht="32.1" customHeight="1" x14ac:dyDescent="0.25">
      <c r="A201" s="6"/>
      <c r="B201" s="5" t="s">
        <v>1251</v>
      </c>
      <c r="C201" s="6" t="s">
        <v>1456</v>
      </c>
      <c r="D201" s="6"/>
      <c r="E201" s="6" t="s">
        <v>1483</v>
      </c>
    </row>
    <row r="202" spans="1:5" ht="32.1" customHeight="1" x14ac:dyDescent="0.25">
      <c r="A202" s="6"/>
      <c r="B202" s="39" t="s">
        <v>844</v>
      </c>
      <c r="C202" s="6" t="s">
        <v>1456</v>
      </c>
      <c r="D202" s="6" t="s">
        <v>1457</v>
      </c>
      <c r="E202" s="6" t="s">
        <v>1556</v>
      </c>
    </row>
    <row r="203" spans="1:5" ht="32.1" customHeight="1" x14ac:dyDescent="0.25">
      <c r="A203" s="6"/>
      <c r="B203" s="39" t="s">
        <v>836</v>
      </c>
      <c r="C203" s="6" t="s">
        <v>1456</v>
      </c>
      <c r="D203" s="6" t="s">
        <v>1457</v>
      </c>
      <c r="E203" s="6" t="s">
        <v>1557</v>
      </c>
    </row>
    <row r="204" spans="1:5" ht="32.1" customHeight="1" x14ac:dyDescent="0.25">
      <c r="A204" s="6"/>
      <c r="B204" s="5" t="s">
        <v>1258</v>
      </c>
      <c r="C204" s="6" t="s">
        <v>1456</v>
      </c>
      <c r="D204" s="6"/>
      <c r="E204" s="6" t="s">
        <v>1531</v>
      </c>
    </row>
    <row r="205" spans="1:5" ht="32.1" customHeight="1" x14ac:dyDescent="0.25">
      <c r="A205" s="6"/>
      <c r="B205" s="5" t="s">
        <v>1259</v>
      </c>
      <c r="C205" s="6" t="s">
        <v>1456</v>
      </c>
      <c r="D205" s="6"/>
      <c r="E205" s="6" t="s">
        <v>1532</v>
      </c>
    </row>
    <row r="206" spans="1:5" ht="32.1" customHeight="1" x14ac:dyDescent="0.25">
      <c r="A206" s="6"/>
      <c r="B206" s="5" t="s">
        <v>1247</v>
      </c>
      <c r="C206" s="6" t="s">
        <v>1456</v>
      </c>
      <c r="D206" s="6"/>
      <c r="E206" s="6" t="s">
        <v>1511</v>
      </c>
    </row>
    <row r="207" spans="1:5" ht="32.1" customHeight="1" x14ac:dyDescent="0.25">
      <c r="A207" s="6"/>
      <c r="B207" s="5" t="s">
        <v>1533</v>
      </c>
      <c r="C207" s="6" t="s">
        <v>1456</v>
      </c>
      <c r="D207" s="6"/>
      <c r="E207" s="6" t="s">
        <v>1534</v>
      </c>
    </row>
    <row r="208" spans="1:5" ht="32.1" customHeight="1" x14ac:dyDescent="0.25">
      <c r="A208" s="6"/>
      <c r="B208" s="5" t="s">
        <v>1525</v>
      </c>
      <c r="C208" s="6" t="s">
        <v>1456</v>
      </c>
      <c r="D208" s="6"/>
      <c r="E208" s="6" t="s">
        <v>1526</v>
      </c>
    </row>
    <row r="209" spans="1:5" ht="32.1" customHeight="1" x14ac:dyDescent="0.25">
      <c r="A209" s="6"/>
      <c r="B209" s="39" t="s">
        <v>1558</v>
      </c>
      <c r="C209" s="6" t="s">
        <v>1456</v>
      </c>
      <c r="D209" s="6" t="s">
        <v>1457</v>
      </c>
      <c r="E209" s="6" t="s">
        <v>1559</v>
      </c>
    </row>
    <row r="210" spans="1:5" ht="32.1" customHeight="1" x14ac:dyDescent="0.25">
      <c r="A210" s="6"/>
      <c r="B210" s="39" t="s">
        <v>1560</v>
      </c>
      <c r="C210" s="6" t="s">
        <v>1456</v>
      </c>
      <c r="D210" s="6" t="s">
        <v>1457</v>
      </c>
      <c r="E210" s="6" t="s">
        <v>1561</v>
      </c>
    </row>
    <row r="211" spans="1:5" ht="32.1" customHeight="1" x14ac:dyDescent="0.25">
      <c r="A211" s="6"/>
      <c r="B211" s="5" t="s">
        <v>1249</v>
      </c>
      <c r="C211" s="6" t="s">
        <v>1456</v>
      </c>
      <c r="D211" s="6"/>
      <c r="E211" s="6" t="s">
        <v>1488</v>
      </c>
    </row>
    <row r="212" spans="1:5" ht="32.1" customHeight="1" x14ac:dyDescent="0.25">
      <c r="A212" s="6"/>
      <c r="B212" s="5" t="s">
        <v>831</v>
      </c>
      <c r="C212" s="6" t="s">
        <v>1456</v>
      </c>
      <c r="D212" s="6"/>
      <c r="E212" s="6" t="s">
        <v>1489</v>
      </c>
    </row>
    <row r="213" spans="1:5" ht="32.1" customHeight="1" x14ac:dyDescent="0.25">
      <c r="A213" s="6"/>
      <c r="B213" s="5" t="s">
        <v>872</v>
      </c>
      <c r="C213" s="6" t="s">
        <v>1456</v>
      </c>
      <c r="D213" s="6"/>
      <c r="E213" s="6" t="s">
        <v>1541</v>
      </c>
    </row>
    <row r="214" spans="1:5" ht="32.1" customHeight="1" x14ac:dyDescent="0.25">
      <c r="A214" s="6"/>
      <c r="B214" s="5" t="s">
        <v>1512</v>
      </c>
      <c r="C214" s="6" t="s">
        <v>1456</v>
      </c>
      <c r="D214" s="6"/>
      <c r="E214" s="6" t="s">
        <v>1513</v>
      </c>
    </row>
    <row r="215" spans="1:5" ht="32.1" customHeight="1" x14ac:dyDescent="0.25">
      <c r="A215" s="6"/>
      <c r="B215" s="5" t="s">
        <v>840</v>
      </c>
      <c r="C215" s="6" t="s">
        <v>1456</v>
      </c>
      <c r="D215" s="6"/>
      <c r="E215" s="6" t="s">
        <v>1514</v>
      </c>
    </row>
    <row r="216" spans="1:5" ht="32.1" customHeight="1" x14ac:dyDescent="0.25">
      <c r="A216" s="6"/>
      <c r="B216" s="39" t="s">
        <v>1562</v>
      </c>
      <c r="C216" s="6" t="s">
        <v>1456</v>
      </c>
      <c r="D216" s="6" t="s">
        <v>1457</v>
      </c>
      <c r="E216" s="6" t="s">
        <v>1563</v>
      </c>
    </row>
    <row r="217" spans="1:5" ht="32.1" customHeight="1" x14ac:dyDescent="0.25">
      <c r="A217" s="6"/>
      <c r="B217" s="39" t="s">
        <v>1250</v>
      </c>
      <c r="C217" s="6" t="s">
        <v>1456</v>
      </c>
      <c r="D217" s="6" t="s">
        <v>1457</v>
      </c>
      <c r="E217" s="6" t="s">
        <v>1564</v>
      </c>
    </row>
    <row r="218" spans="1:5" ht="32.1" customHeight="1" x14ac:dyDescent="0.25">
      <c r="A218" s="6"/>
      <c r="B218" s="5" t="s">
        <v>1254</v>
      </c>
      <c r="C218" s="6" t="s">
        <v>1456</v>
      </c>
      <c r="D218" s="6"/>
      <c r="E218" s="6" t="s">
        <v>1490</v>
      </c>
    </row>
    <row r="219" spans="1:5" ht="21.95" customHeight="1" x14ac:dyDescent="0.25">
      <c r="A219" s="13"/>
      <c r="B219" s="13" t="s">
        <v>1492</v>
      </c>
      <c r="C219" s="13" t="s">
        <v>604</v>
      </c>
      <c r="D219" s="13" t="s">
        <v>1464</v>
      </c>
      <c r="E219" s="13" t="s">
        <v>1465</v>
      </c>
    </row>
    <row r="220" spans="1:5" ht="63.95" customHeight="1" x14ac:dyDescent="0.25">
      <c r="A220" s="6"/>
      <c r="B220" s="35" t="s">
        <v>1202</v>
      </c>
      <c r="C220" s="6" t="s">
        <v>1467</v>
      </c>
      <c r="D220" s="6" t="s">
        <v>95</v>
      </c>
      <c r="E220" s="6" t="s">
        <v>1565</v>
      </c>
    </row>
    <row r="221" spans="1:5" ht="63.95" customHeight="1" x14ac:dyDescent="0.25">
      <c r="A221" s="6"/>
      <c r="B221" s="35" t="s">
        <v>797</v>
      </c>
      <c r="C221" s="6" t="s">
        <v>1470</v>
      </c>
      <c r="D221" s="6" t="s">
        <v>95</v>
      </c>
      <c r="E221" s="6" t="s">
        <v>1566</v>
      </c>
    </row>
    <row r="222" spans="1:5" ht="39.950000000000003" customHeight="1" x14ac:dyDescent="0.25">
      <c r="A222" s="6"/>
      <c r="B222" s="35" t="s">
        <v>1362</v>
      </c>
      <c r="C222" s="6" t="s">
        <v>1567</v>
      </c>
      <c r="D222" s="6" t="s">
        <v>95</v>
      </c>
      <c r="E222" s="6" t="s">
        <v>1568</v>
      </c>
    </row>
    <row r="223" spans="1:5" ht="39.950000000000003" customHeight="1" x14ac:dyDescent="0.25">
      <c r="A223" s="6"/>
      <c r="B223" s="5" t="s">
        <v>1569</v>
      </c>
      <c r="C223" s="6" t="s">
        <v>620</v>
      </c>
      <c r="D223" s="6"/>
      <c r="E223" s="6" t="s">
        <v>1570</v>
      </c>
    </row>
    <row r="224" spans="1:5" ht="78.95" customHeight="1" x14ac:dyDescent="0.25">
      <c r="A224" s="6"/>
      <c r="B224" s="35" t="s">
        <v>1196</v>
      </c>
      <c r="C224" s="6" t="s">
        <v>626</v>
      </c>
      <c r="D224" s="6" t="s">
        <v>95</v>
      </c>
      <c r="E224" s="6" t="s">
        <v>1571</v>
      </c>
    </row>
    <row r="225" spans="1:5" ht="39.950000000000003" customHeight="1" x14ac:dyDescent="0.25">
      <c r="A225" s="6"/>
      <c r="B225" s="5" t="s">
        <v>1572</v>
      </c>
      <c r="C225" s="6" t="s">
        <v>632</v>
      </c>
      <c r="D225" s="6"/>
      <c r="E225" s="6" t="s">
        <v>1573</v>
      </c>
    </row>
    <row r="226" spans="1:5" ht="39.950000000000003" customHeight="1" x14ac:dyDescent="0.25">
      <c r="A226" s="6"/>
      <c r="B226" s="5" t="s">
        <v>1551</v>
      </c>
      <c r="C226" s="6" t="s">
        <v>638</v>
      </c>
      <c r="D226" s="6"/>
      <c r="E226" s="6" t="s">
        <v>1552</v>
      </c>
    </row>
    <row r="227" spans="1:5" ht="39.950000000000003" customHeight="1" x14ac:dyDescent="0.25">
      <c r="A227" s="6"/>
      <c r="B227" s="5" t="s">
        <v>1501</v>
      </c>
      <c r="C227" s="6" t="s">
        <v>644</v>
      </c>
      <c r="D227" s="6"/>
      <c r="E227" s="6" t="s">
        <v>1553</v>
      </c>
    </row>
    <row r="228" spans="1:5" ht="39.950000000000003" customHeight="1" x14ac:dyDescent="0.25">
      <c r="A228" s="6"/>
      <c r="B228" s="5" t="s">
        <v>1574</v>
      </c>
      <c r="C228" s="6" t="s">
        <v>1477</v>
      </c>
      <c r="D228" s="6"/>
      <c r="E228" s="6" t="s">
        <v>1499</v>
      </c>
    </row>
    <row r="229" spans="1:5" ht="39.950000000000003" customHeight="1" x14ac:dyDescent="0.25">
      <c r="A229" s="6"/>
      <c r="B229" s="5" t="s">
        <v>1574</v>
      </c>
      <c r="C229" s="6" t="s">
        <v>1478</v>
      </c>
      <c r="D229" s="6"/>
      <c r="E229" s="6" t="s">
        <v>1499</v>
      </c>
    </row>
    <row r="230" spans="1:5" ht="39.950000000000003" customHeight="1" x14ac:dyDescent="0.25">
      <c r="A230" s="6"/>
      <c r="B230" s="5" t="s">
        <v>1575</v>
      </c>
      <c r="C230" s="6" t="s">
        <v>654</v>
      </c>
      <c r="D230" s="6"/>
      <c r="E230" s="6" t="s">
        <v>1499</v>
      </c>
    </row>
    <row r="231" spans="1:5" ht="39.950000000000003" customHeight="1" x14ac:dyDescent="0.25">
      <c r="A231" s="6"/>
      <c r="B231" s="35" t="s">
        <v>1231</v>
      </c>
      <c r="C231" s="6" t="s">
        <v>1576</v>
      </c>
      <c r="D231" s="6" t="s">
        <v>95</v>
      </c>
      <c r="E231" s="6" t="s">
        <v>1577</v>
      </c>
    </row>
    <row r="232" spans="1:5" ht="21.95" customHeight="1" x14ac:dyDescent="0.25">
      <c r="A232" s="13"/>
      <c r="B232" s="13" t="s">
        <v>1505</v>
      </c>
      <c r="C232" s="13" t="s">
        <v>604</v>
      </c>
      <c r="D232" s="13" t="s">
        <v>1464</v>
      </c>
      <c r="E232" s="13" t="s">
        <v>1465</v>
      </c>
    </row>
    <row r="233" spans="1:5" ht="63.95" customHeight="1" x14ac:dyDescent="0.25">
      <c r="A233" s="6"/>
      <c r="B233" s="35" t="s">
        <v>1202</v>
      </c>
      <c r="C233" s="6" t="s">
        <v>1467</v>
      </c>
      <c r="D233" s="6" t="s">
        <v>95</v>
      </c>
      <c r="E233" s="6" t="s">
        <v>1565</v>
      </c>
    </row>
    <row r="234" spans="1:5" ht="63.95" customHeight="1" x14ac:dyDescent="0.25">
      <c r="A234" s="6"/>
      <c r="B234" s="35" t="s">
        <v>797</v>
      </c>
      <c r="C234" s="6" t="s">
        <v>1470</v>
      </c>
      <c r="D234" s="6" t="s">
        <v>95</v>
      </c>
      <c r="E234" s="6" t="s">
        <v>1566</v>
      </c>
    </row>
    <row r="235" spans="1:5" ht="39.950000000000003" customHeight="1" x14ac:dyDescent="0.25">
      <c r="A235" s="6"/>
      <c r="B235" s="35" t="s">
        <v>1362</v>
      </c>
      <c r="C235" s="6" t="s">
        <v>1567</v>
      </c>
      <c r="D235" s="6" t="s">
        <v>95</v>
      </c>
      <c r="E235" s="6" t="s">
        <v>1578</v>
      </c>
    </row>
    <row r="236" spans="1:5" ht="39.950000000000003" customHeight="1" x14ac:dyDescent="0.25">
      <c r="A236" s="6"/>
      <c r="B236" s="5" t="s">
        <v>1579</v>
      </c>
      <c r="C236" s="6" t="s">
        <v>620</v>
      </c>
      <c r="D236" s="6"/>
      <c r="E236" s="6" t="s">
        <v>1580</v>
      </c>
    </row>
    <row r="237" spans="1:5" ht="78.95" customHeight="1" x14ac:dyDescent="0.25">
      <c r="A237" s="6"/>
      <c r="B237" s="35" t="s">
        <v>1196</v>
      </c>
      <c r="C237" s="6" t="s">
        <v>626</v>
      </c>
      <c r="D237" s="6" t="s">
        <v>95</v>
      </c>
      <c r="E237" s="6" t="s">
        <v>1571</v>
      </c>
    </row>
    <row r="238" spans="1:5" ht="39.950000000000003" customHeight="1" x14ac:dyDescent="0.25">
      <c r="A238" s="6"/>
      <c r="B238" s="5" t="s">
        <v>1581</v>
      </c>
      <c r="C238" s="6" t="s">
        <v>632</v>
      </c>
      <c r="D238" s="6"/>
      <c r="E238" s="6" t="s">
        <v>1499</v>
      </c>
    </row>
    <row r="239" spans="1:5" ht="39.950000000000003" customHeight="1" x14ac:dyDescent="0.25">
      <c r="A239" s="6"/>
      <c r="B239" s="5" t="s">
        <v>1582</v>
      </c>
      <c r="C239" s="6" t="s">
        <v>638</v>
      </c>
      <c r="D239" s="6"/>
      <c r="E239" s="6" t="s">
        <v>1583</v>
      </c>
    </row>
    <row r="240" spans="1:5" ht="39.950000000000003" customHeight="1" x14ac:dyDescent="0.25">
      <c r="A240" s="6"/>
      <c r="B240" s="5" t="s">
        <v>1501</v>
      </c>
      <c r="C240" s="6" t="s">
        <v>644</v>
      </c>
      <c r="D240" s="6"/>
      <c r="E240" s="6" t="s">
        <v>1584</v>
      </c>
    </row>
    <row r="241" spans="1:5" ht="39.950000000000003" customHeight="1" x14ac:dyDescent="0.25">
      <c r="A241" s="6"/>
      <c r="B241" s="5" t="s">
        <v>1574</v>
      </c>
      <c r="C241" s="6" t="s">
        <v>1477</v>
      </c>
      <c r="D241" s="6"/>
      <c r="E241" s="6" t="s">
        <v>1499</v>
      </c>
    </row>
    <row r="242" spans="1:5" ht="39.950000000000003" customHeight="1" x14ac:dyDescent="0.25">
      <c r="A242" s="6"/>
      <c r="B242" s="35" t="s">
        <v>1242</v>
      </c>
      <c r="C242" s="6" t="s">
        <v>1478</v>
      </c>
      <c r="D242" s="6" t="s">
        <v>95</v>
      </c>
      <c r="E242" s="6" t="s">
        <v>1585</v>
      </c>
    </row>
    <row r="243" spans="1:5" ht="78.95" customHeight="1" x14ac:dyDescent="0.25">
      <c r="A243" s="6"/>
      <c r="B243" s="35" t="s">
        <v>1367</v>
      </c>
      <c r="C243" s="6" t="s">
        <v>654</v>
      </c>
      <c r="D243" s="6" t="s">
        <v>95</v>
      </c>
      <c r="E243" s="6" t="s">
        <v>1586</v>
      </c>
    </row>
    <row r="244" spans="1:5" ht="39.950000000000003" customHeight="1" x14ac:dyDescent="0.25">
      <c r="A244" s="6"/>
      <c r="B244" s="35" t="s">
        <v>1231</v>
      </c>
      <c r="C244" s="6" t="s">
        <v>1576</v>
      </c>
      <c r="D244" s="6" t="s">
        <v>95</v>
      </c>
      <c r="E244" s="6" t="s">
        <v>1577</v>
      </c>
    </row>
    <row r="245" spans="1:5" ht="39.950000000000003" customHeight="1" x14ac:dyDescent="0.25">
      <c r="A245" s="6"/>
      <c r="B245" s="35" t="s">
        <v>1229</v>
      </c>
      <c r="C245" s="6" t="s">
        <v>1320</v>
      </c>
      <c r="D245" s="6" t="s">
        <v>95</v>
      </c>
      <c r="E245" s="6" t="s">
        <v>1587</v>
      </c>
    </row>
    <row r="246" spans="1:5" ht="39.950000000000003" customHeight="1" x14ac:dyDescent="0.25">
      <c r="A246" s="6"/>
      <c r="B246" s="35" t="s">
        <v>1233</v>
      </c>
      <c r="C246" s="6" t="s">
        <v>1320</v>
      </c>
      <c r="D246" s="6" t="s">
        <v>95</v>
      </c>
      <c r="E246" s="6" t="s">
        <v>1391</v>
      </c>
    </row>
    <row r="248" spans="1:5" ht="21.95" customHeight="1" x14ac:dyDescent="0.25">
      <c r="A248" s="54" t="s">
        <v>1588</v>
      </c>
      <c r="B248" s="55"/>
      <c r="C248" s="55"/>
      <c r="D248" s="55"/>
      <c r="E248" s="55"/>
    </row>
    <row r="249" spans="1:5" ht="21.95" customHeight="1" x14ac:dyDescent="0.25">
      <c r="A249" s="4"/>
      <c r="B249" s="4" t="s">
        <v>841</v>
      </c>
      <c r="C249" s="4" t="s">
        <v>209</v>
      </c>
      <c r="D249" s="4" t="s">
        <v>1454</v>
      </c>
      <c r="E249" s="4" t="s">
        <v>1430</v>
      </c>
    </row>
    <row r="250" spans="1:5" ht="32.1" customHeight="1" x14ac:dyDescent="0.25">
      <c r="A250" s="6"/>
      <c r="B250" s="5" t="s">
        <v>1251</v>
      </c>
      <c r="C250" s="6" t="s">
        <v>1456</v>
      </c>
      <c r="D250" s="6"/>
      <c r="E250" s="6" t="s">
        <v>1483</v>
      </c>
    </row>
    <row r="251" spans="1:5" ht="32.1" customHeight="1" x14ac:dyDescent="0.25">
      <c r="A251" s="6"/>
      <c r="B251" s="5" t="s">
        <v>836</v>
      </c>
      <c r="C251" s="6" t="s">
        <v>1456</v>
      </c>
      <c r="D251" s="6"/>
      <c r="E251" s="6" t="s">
        <v>1557</v>
      </c>
    </row>
    <row r="252" spans="1:5" ht="32.1" customHeight="1" x14ac:dyDescent="0.25">
      <c r="A252" s="6"/>
      <c r="B252" s="5" t="s">
        <v>1247</v>
      </c>
      <c r="C252" s="6" t="s">
        <v>1456</v>
      </c>
      <c r="D252" s="6"/>
      <c r="E252" s="6" t="s">
        <v>1511</v>
      </c>
    </row>
    <row r="253" spans="1:5" ht="32.1" customHeight="1" x14ac:dyDescent="0.25">
      <c r="A253" s="6"/>
      <c r="B253" s="39" t="s">
        <v>1589</v>
      </c>
      <c r="C253" s="6" t="s">
        <v>1456</v>
      </c>
      <c r="D253" s="6" t="s">
        <v>1457</v>
      </c>
      <c r="E253" s="6" t="s">
        <v>1590</v>
      </c>
    </row>
    <row r="254" spans="1:5" ht="32.1" customHeight="1" x14ac:dyDescent="0.25">
      <c r="A254" s="6"/>
      <c r="B254" s="5" t="s">
        <v>1249</v>
      </c>
      <c r="C254" s="6" t="s">
        <v>1456</v>
      </c>
      <c r="D254" s="6"/>
      <c r="E254" s="6" t="s">
        <v>1488</v>
      </c>
    </row>
    <row r="255" spans="1:5" ht="32.1" customHeight="1" x14ac:dyDescent="0.25">
      <c r="A255" s="6"/>
      <c r="B255" s="5" t="s">
        <v>831</v>
      </c>
      <c r="C255" s="6" t="s">
        <v>1456</v>
      </c>
      <c r="D255" s="6"/>
      <c r="E255" s="6" t="s">
        <v>1489</v>
      </c>
    </row>
    <row r="256" spans="1:5" ht="32.1" customHeight="1" x14ac:dyDescent="0.25">
      <c r="A256" s="6"/>
      <c r="B256" s="39" t="s">
        <v>847</v>
      </c>
      <c r="C256" s="6" t="s">
        <v>1456</v>
      </c>
      <c r="D256" s="6" t="s">
        <v>1457</v>
      </c>
      <c r="E256" s="6" t="s">
        <v>1591</v>
      </c>
    </row>
    <row r="257" spans="1:5" ht="32.1" customHeight="1" x14ac:dyDescent="0.25">
      <c r="A257" s="6"/>
      <c r="B257" s="39" t="s">
        <v>1223</v>
      </c>
      <c r="C257" s="6" t="s">
        <v>1456</v>
      </c>
      <c r="D257" s="6" t="s">
        <v>1457</v>
      </c>
      <c r="E257" s="6" t="s">
        <v>1592</v>
      </c>
    </row>
    <row r="258" spans="1:5" ht="32.1" customHeight="1" x14ac:dyDescent="0.25">
      <c r="A258" s="6"/>
      <c r="B258" s="39" t="s">
        <v>1593</v>
      </c>
      <c r="C258" s="6" t="s">
        <v>1456</v>
      </c>
      <c r="D258" s="6" t="s">
        <v>1457</v>
      </c>
      <c r="E258" s="6" t="s">
        <v>1594</v>
      </c>
    </row>
    <row r="259" spans="1:5" ht="32.1" customHeight="1" x14ac:dyDescent="0.25">
      <c r="A259" s="6"/>
      <c r="B259" s="5" t="s">
        <v>872</v>
      </c>
      <c r="C259" s="6" t="s">
        <v>1456</v>
      </c>
      <c r="D259" s="6"/>
      <c r="E259" s="6" t="s">
        <v>1541</v>
      </c>
    </row>
    <row r="260" spans="1:5" ht="32.1" customHeight="1" x14ac:dyDescent="0.25">
      <c r="A260" s="6"/>
      <c r="B260" s="5" t="s">
        <v>1512</v>
      </c>
      <c r="C260" s="6" t="s">
        <v>1456</v>
      </c>
      <c r="D260" s="6"/>
      <c r="E260" s="6" t="s">
        <v>1513</v>
      </c>
    </row>
    <row r="261" spans="1:5" ht="32.1" customHeight="1" x14ac:dyDescent="0.25">
      <c r="A261" s="6"/>
      <c r="B261" s="5" t="s">
        <v>840</v>
      </c>
      <c r="C261" s="6" t="s">
        <v>1456</v>
      </c>
      <c r="D261" s="6"/>
      <c r="E261" s="6" t="s">
        <v>1514</v>
      </c>
    </row>
    <row r="262" spans="1:5" ht="32.1" customHeight="1" x14ac:dyDescent="0.25">
      <c r="A262" s="6"/>
      <c r="B262" s="39" t="s">
        <v>1595</v>
      </c>
      <c r="C262" s="6" t="s">
        <v>1456</v>
      </c>
      <c r="D262" s="6" t="s">
        <v>1457</v>
      </c>
      <c r="E262" s="6" t="s">
        <v>1596</v>
      </c>
    </row>
    <row r="263" spans="1:5" ht="32.1" customHeight="1" x14ac:dyDescent="0.25">
      <c r="A263" s="6"/>
      <c r="B263" s="5" t="s">
        <v>1562</v>
      </c>
      <c r="C263" s="6" t="s">
        <v>1456</v>
      </c>
      <c r="D263" s="6"/>
      <c r="E263" s="6" t="s">
        <v>1563</v>
      </c>
    </row>
    <row r="264" spans="1:5" ht="21.95" customHeight="1" x14ac:dyDescent="0.25">
      <c r="A264" s="13"/>
      <c r="B264" s="13" t="s">
        <v>1492</v>
      </c>
      <c r="C264" s="13" t="s">
        <v>604</v>
      </c>
      <c r="D264" s="13" t="s">
        <v>1464</v>
      </c>
      <c r="E264" s="13" t="s">
        <v>1465</v>
      </c>
    </row>
    <row r="265" spans="1:5" ht="63.95" customHeight="1" x14ac:dyDescent="0.25">
      <c r="A265" s="6"/>
      <c r="B265" s="35" t="s">
        <v>1202</v>
      </c>
      <c r="C265" s="6" t="s">
        <v>1467</v>
      </c>
      <c r="D265" s="6" t="s">
        <v>95</v>
      </c>
      <c r="E265" s="6" t="s">
        <v>1565</v>
      </c>
    </row>
    <row r="266" spans="1:5" ht="63.95" customHeight="1" x14ac:dyDescent="0.25">
      <c r="A266" s="6"/>
      <c r="B266" s="35" t="s">
        <v>797</v>
      </c>
      <c r="C266" s="6" t="s">
        <v>1470</v>
      </c>
      <c r="D266" s="6" t="s">
        <v>95</v>
      </c>
      <c r="E266" s="6" t="s">
        <v>1566</v>
      </c>
    </row>
    <row r="267" spans="1:5" ht="39.950000000000003" customHeight="1" x14ac:dyDescent="0.25">
      <c r="A267" s="6"/>
      <c r="B267" s="35" t="s">
        <v>1362</v>
      </c>
      <c r="C267" s="6" t="s">
        <v>1567</v>
      </c>
      <c r="D267" s="6" t="s">
        <v>95</v>
      </c>
      <c r="E267" s="6" t="s">
        <v>1578</v>
      </c>
    </row>
    <row r="268" spans="1:5" ht="39.950000000000003" customHeight="1" x14ac:dyDescent="0.25">
      <c r="A268" s="6"/>
      <c r="B268" s="5" t="s">
        <v>1579</v>
      </c>
      <c r="C268" s="6" t="s">
        <v>620</v>
      </c>
      <c r="D268" s="6"/>
      <c r="E268" s="6" t="s">
        <v>1580</v>
      </c>
    </row>
    <row r="269" spans="1:5" ht="93.95" customHeight="1" x14ac:dyDescent="0.25">
      <c r="A269" s="6"/>
      <c r="B269" s="35" t="s">
        <v>1196</v>
      </c>
      <c r="C269" s="6" t="s">
        <v>626</v>
      </c>
      <c r="D269" s="6" t="s">
        <v>95</v>
      </c>
      <c r="E269" s="6" t="s">
        <v>1597</v>
      </c>
    </row>
    <row r="270" spans="1:5" ht="39.950000000000003" customHeight="1" x14ac:dyDescent="0.25">
      <c r="A270" s="6"/>
      <c r="B270" s="5" t="s">
        <v>1581</v>
      </c>
      <c r="C270" s="6" t="s">
        <v>632</v>
      </c>
      <c r="D270" s="6"/>
      <c r="E270" s="6" t="s">
        <v>1499</v>
      </c>
    </row>
    <row r="271" spans="1:5" ht="39.950000000000003" customHeight="1" x14ac:dyDescent="0.25">
      <c r="A271" s="6"/>
      <c r="B271" s="5" t="s">
        <v>1582</v>
      </c>
      <c r="C271" s="6" t="s">
        <v>638</v>
      </c>
      <c r="D271" s="6"/>
      <c r="E271" s="6" t="s">
        <v>1583</v>
      </c>
    </row>
    <row r="272" spans="1:5" ht="39.950000000000003" customHeight="1" x14ac:dyDescent="0.25">
      <c r="A272" s="6"/>
      <c r="B272" s="5" t="s">
        <v>1501</v>
      </c>
      <c r="C272" s="6" t="s">
        <v>644</v>
      </c>
      <c r="D272" s="6"/>
      <c r="E272" s="6" t="s">
        <v>1584</v>
      </c>
    </row>
    <row r="273" spans="1:5" ht="39.950000000000003" customHeight="1" x14ac:dyDescent="0.25">
      <c r="A273" s="6"/>
      <c r="B273" s="5" t="s">
        <v>1574</v>
      </c>
      <c r="C273" s="6" t="s">
        <v>1477</v>
      </c>
      <c r="D273" s="6"/>
      <c r="E273" s="6" t="s">
        <v>1499</v>
      </c>
    </row>
    <row r="274" spans="1:5" ht="39.950000000000003" customHeight="1" x14ac:dyDescent="0.25">
      <c r="A274" s="6"/>
      <c r="B274" s="5" t="s">
        <v>1574</v>
      </c>
      <c r="C274" s="6" t="s">
        <v>1478</v>
      </c>
      <c r="D274" s="6"/>
      <c r="E274" s="6" t="s">
        <v>1499</v>
      </c>
    </row>
    <row r="275" spans="1:5" ht="39.950000000000003" customHeight="1" x14ac:dyDescent="0.25">
      <c r="A275" s="6"/>
      <c r="B275" s="5" t="s">
        <v>1575</v>
      </c>
      <c r="C275" s="6" t="s">
        <v>654</v>
      </c>
      <c r="D275" s="6"/>
      <c r="E275" s="6" t="s">
        <v>1499</v>
      </c>
    </row>
    <row r="276" spans="1:5" ht="39.950000000000003" customHeight="1" x14ac:dyDescent="0.25">
      <c r="A276" s="6"/>
      <c r="B276" s="35" t="s">
        <v>1231</v>
      </c>
      <c r="C276" s="6" t="s">
        <v>1576</v>
      </c>
      <c r="D276" s="6" t="s">
        <v>95</v>
      </c>
      <c r="E276" s="6" t="s">
        <v>1577</v>
      </c>
    </row>
    <row r="277" spans="1:5" ht="39.950000000000003" customHeight="1" x14ac:dyDescent="0.25">
      <c r="A277" s="6"/>
      <c r="B277" s="35" t="s">
        <v>1229</v>
      </c>
      <c r="C277" s="6" t="s">
        <v>1320</v>
      </c>
      <c r="D277" s="6" t="s">
        <v>95</v>
      </c>
      <c r="E277" s="6" t="s">
        <v>1587</v>
      </c>
    </row>
    <row r="278" spans="1:5" ht="39.950000000000003" customHeight="1" x14ac:dyDescent="0.25">
      <c r="A278" s="6"/>
      <c r="B278" s="35" t="s">
        <v>1233</v>
      </c>
      <c r="C278" s="6" t="s">
        <v>1320</v>
      </c>
      <c r="D278" s="6" t="s">
        <v>95</v>
      </c>
      <c r="E278" s="6" t="s">
        <v>1391</v>
      </c>
    </row>
    <row r="279" spans="1:5" ht="48.95" customHeight="1" x14ac:dyDescent="0.25">
      <c r="A279" s="6"/>
      <c r="B279" s="35" t="s">
        <v>1228</v>
      </c>
      <c r="C279" s="6" t="s">
        <v>1320</v>
      </c>
      <c r="D279" s="6" t="s">
        <v>95</v>
      </c>
      <c r="E279" s="6" t="s">
        <v>1518</v>
      </c>
    </row>
    <row r="280" spans="1:5" ht="21.95" customHeight="1" x14ac:dyDescent="0.25">
      <c r="A280" s="13"/>
      <c r="B280" s="13" t="s">
        <v>1505</v>
      </c>
      <c r="C280" s="13" t="s">
        <v>604</v>
      </c>
      <c r="D280" s="13" t="s">
        <v>1464</v>
      </c>
      <c r="E280" s="13" t="s">
        <v>1465</v>
      </c>
    </row>
    <row r="281" spans="1:5" ht="63.95" customHeight="1" x14ac:dyDescent="0.25">
      <c r="A281" s="6"/>
      <c r="B281" s="35" t="s">
        <v>1202</v>
      </c>
      <c r="C281" s="6" t="s">
        <v>1467</v>
      </c>
      <c r="D281" s="6" t="s">
        <v>95</v>
      </c>
      <c r="E281" s="6" t="s">
        <v>1565</v>
      </c>
    </row>
    <row r="282" spans="1:5" ht="63.95" customHeight="1" x14ac:dyDescent="0.25">
      <c r="A282" s="6"/>
      <c r="B282" s="35" t="s">
        <v>797</v>
      </c>
      <c r="C282" s="6" t="s">
        <v>1470</v>
      </c>
      <c r="D282" s="6" t="s">
        <v>95</v>
      </c>
      <c r="E282" s="6" t="s">
        <v>1566</v>
      </c>
    </row>
    <row r="283" spans="1:5" ht="39.950000000000003" customHeight="1" x14ac:dyDescent="0.25">
      <c r="A283" s="6"/>
      <c r="B283" s="35" t="s">
        <v>1362</v>
      </c>
      <c r="C283" s="6" t="s">
        <v>1567</v>
      </c>
      <c r="D283" s="6" t="s">
        <v>95</v>
      </c>
      <c r="E283" s="6" t="s">
        <v>1578</v>
      </c>
    </row>
    <row r="284" spans="1:5" ht="39.950000000000003" customHeight="1" x14ac:dyDescent="0.25">
      <c r="A284" s="6"/>
      <c r="B284" s="5" t="s">
        <v>1579</v>
      </c>
      <c r="C284" s="6" t="s">
        <v>620</v>
      </c>
      <c r="D284" s="6"/>
      <c r="E284" s="6" t="s">
        <v>1580</v>
      </c>
    </row>
    <row r="285" spans="1:5" ht="93.95" customHeight="1" x14ac:dyDescent="0.25">
      <c r="A285" s="6"/>
      <c r="B285" s="35" t="s">
        <v>1196</v>
      </c>
      <c r="C285" s="6" t="s">
        <v>626</v>
      </c>
      <c r="D285" s="6" t="s">
        <v>95</v>
      </c>
      <c r="E285" s="6" t="s">
        <v>1597</v>
      </c>
    </row>
    <row r="286" spans="1:5" ht="39.950000000000003" customHeight="1" x14ac:dyDescent="0.25">
      <c r="A286" s="6"/>
      <c r="B286" s="5" t="s">
        <v>1581</v>
      </c>
      <c r="C286" s="6" t="s">
        <v>632</v>
      </c>
      <c r="D286" s="6"/>
      <c r="E286" s="6" t="s">
        <v>1499</v>
      </c>
    </row>
    <row r="287" spans="1:5" ht="39.950000000000003" customHeight="1" x14ac:dyDescent="0.25">
      <c r="A287" s="6"/>
      <c r="B287" s="5" t="s">
        <v>1582</v>
      </c>
      <c r="C287" s="6" t="s">
        <v>638</v>
      </c>
      <c r="D287" s="6"/>
      <c r="E287" s="6" t="s">
        <v>1583</v>
      </c>
    </row>
    <row r="288" spans="1:5" ht="39.950000000000003" customHeight="1" x14ac:dyDescent="0.25">
      <c r="A288" s="6"/>
      <c r="B288" s="5" t="s">
        <v>1501</v>
      </c>
      <c r="C288" s="6" t="s">
        <v>644</v>
      </c>
      <c r="D288" s="6"/>
      <c r="E288" s="6" t="s">
        <v>1584</v>
      </c>
    </row>
    <row r="289" spans="1:5" ht="39.950000000000003" customHeight="1" x14ac:dyDescent="0.25">
      <c r="A289" s="6"/>
      <c r="B289" s="5" t="s">
        <v>1574</v>
      </c>
      <c r="C289" s="6" t="s">
        <v>1477</v>
      </c>
      <c r="D289" s="6"/>
      <c r="E289" s="6" t="s">
        <v>1499</v>
      </c>
    </row>
    <row r="290" spans="1:5" ht="39.950000000000003" customHeight="1" x14ac:dyDescent="0.25">
      <c r="A290" s="6"/>
      <c r="B290" s="35" t="s">
        <v>1242</v>
      </c>
      <c r="C290" s="6" t="s">
        <v>1478</v>
      </c>
      <c r="D290" s="6" t="s">
        <v>95</v>
      </c>
      <c r="E290" s="6" t="s">
        <v>1585</v>
      </c>
    </row>
    <row r="291" spans="1:5" ht="39.950000000000003" customHeight="1" x14ac:dyDescent="0.25">
      <c r="A291" s="6"/>
      <c r="B291" s="35" t="s">
        <v>1424</v>
      </c>
      <c r="C291" s="6" t="s">
        <v>654</v>
      </c>
      <c r="D291" s="6" t="s">
        <v>95</v>
      </c>
      <c r="E291" s="6" t="s">
        <v>1598</v>
      </c>
    </row>
    <row r="292" spans="1:5" ht="39.950000000000003" customHeight="1" x14ac:dyDescent="0.25">
      <c r="A292" s="6"/>
      <c r="B292" s="35" t="s">
        <v>1231</v>
      </c>
      <c r="C292" s="6" t="s">
        <v>1576</v>
      </c>
      <c r="D292" s="6" t="s">
        <v>95</v>
      </c>
      <c r="E292" s="6" t="s">
        <v>1577</v>
      </c>
    </row>
    <row r="293" spans="1:5" ht="39.950000000000003" customHeight="1" x14ac:dyDescent="0.25">
      <c r="A293" s="6"/>
      <c r="B293" s="35" t="s">
        <v>1233</v>
      </c>
      <c r="C293" s="6" t="s">
        <v>1320</v>
      </c>
      <c r="D293" s="6" t="s">
        <v>95</v>
      </c>
      <c r="E293" s="6" t="s">
        <v>1391</v>
      </c>
    </row>
    <row r="294" spans="1:5" ht="39.950000000000003" customHeight="1" x14ac:dyDescent="0.25">
      <c r="A294" s="6"/>
      <c r="B294" s="35" t="s">
        <v>1229</v>
      </c>
      <c r="C294" s="6" t="s">
        <v>1320</v>
      </c>
      <c r="D294" s="6" t="s">
        <v>95</v>
      </c>
      <c r="E294" s="6" t="s">
        <v>1587</v>
      </c>
    </row>
    <row r="295" spans="1:5" ht="63.95" customHeight="1" x14ac:dyDescent="0.25">
      <c r="A295" s="6"/>
      <c r="B295" s="35" t="s">
        <v>1234</v>
      </c>
      <c r="C295" s="6" t="s">
        <v>1320</v>
      </c>
      <c r="D295" s="6" t="s">
        <v>95</v>
      </c>
      <c r="E295" s="6" t="s">
        <v>1599</v>
      </c>
    </row>
  </sheetData>
  <mergeCells count="10">
    <mergeCell ref="A1:E1"/>
    <mergeCell ref="A23:E23"/>
    <mergeCell ref="A4:E4"/>
    <mergeCell ref="A73:E73"/>
    <mergeCell ref="A2:E2"/>
    <mergeCell ref="A248:E248"/>
    <mergeCell ref="A199:E199"/>
    <mergeCell ref="A112:E112"/>
    <mergeCell ref="A41:E41"/>
    <mergeCell ref="A152:E152"/>
  </mergeCells>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E9AA6"/>
  </sheetPr>
  <dimension ref="A1:C13"/>
  <sheetViews>
    <sheetView showGridLines="0" workbookViewId="0"/>
  </sheetViews>
  <sheetFormatPr defaultRowHeight="15" x14ac:dyDescent="0.25"/>
  <cols>
    <col min="1" max="1" width="58" customWidth="1"/>
    <col min="2" max="2" width="44" customWidth="1"/>
    <col min="3" max="3" width="70" customWidth="1"/>
  </cols>
  <sheetData>
    <row r="1" spans="1:3" ht="33.950000000000003" customHeight="1" x14ac:dyDescent="0.25">
      <c r="A1" s="59" t="s">
        <v>1600</v>
      </c>
      <c r="B1" s="50"/>
      <c r="C1" s="50"/>
    </row>
    <row r="2" spans="1:3" ht="30" customHeight="1" x14ac:dyDescent="0.25">
      <c r="A2" s="49" t="s">
        <v>1601</v>
      </c>
      <c r="B2" s="50"/>
      <c r="C2" s="50"/>
    </row>
    <row r="3" spans="1:3" ht="21.95" customHeight="1" x14ac:dyDescent="0.25">
      <c r="A3" s="4" t="s">
        <v>1602</v>
      </c>
      <c r="B3" s="4" t="s">
        <v>1603</v>
      </c>
      <c r="C3" s="4" t="s">
        <v>1604</v>
      </c>
    </row>
    <row r="4" spans="1:3" ht="30" customHeight="1" x14ac:dyDescent="0.25">
      <c r="A4" s="6" t="s">
        <v>1605</v>
      </c>
      <c r="B4" s="6" t="s">
        <v>1606</v>
      </c>
      <c r="C4" s="40" t="s">
        <v>1607</v>
      </c>
    </row>
    <row r="5" spans="1:3" ht="30" customHeight="1" x14ac:dyDescent="0.25">
      <c r="A5" s="6" t="s">
        <v>1608</v>
      </c>
      <c r="B5" s="6" t="s">
        <v>1609</v>
      </c>
      <c r="C5" s="40" t="s">
        <v>1610</v>
      </c>
    </row>
    <row r="6" spans="1:3" ht="30" customHeight="1" x14ac:dyDescent="0.25">
      <c r="A6" s="6" t="s">
        <v>1611</v>
      </c>
      <c r="B6" s="6" t="s">
        <v>1612</v>
      </c>
      <c r="C6" s="40" t="s">
        <v>1613</v>
      </c>
    </row>
    <row r="7" spans="1:3" ht="30" customHeight="1" x14ac:dyDescent="0.25">
      <c r="A7" s="6" t="s">
        <v>1614</v>
      </c>
      <c r="B7" s="6" t="s">
        <v>1615</v>
      </c>
      <c r="C7" s="40" t="s">
        <v>1616</v>
      </c>
    </row>
    <row r="8" spans="1:3" ht="30" customHeight="1" x14ac:dyDescent="0.25">
      <c r="A8" s="6" t="s">
        <v>1617</v>
      </c>
      <c r="B8" s="6" t="s">
        <v>1618</v>
      </c>
      <c r="C8" s="40" t="s">
        <v>1619</v>
      </c>
    </row>
    <row r="9" spans="1:3" ht="30" customHeight="1" x14ac:dyDescent="0.25">
      <c r="A9" s="6" t="s">
        <v>1620</v>
      </c>
      <c r="B9" s="6" t="s">
        <v>1621</v>
      </c>
      <c r="C9" s="40" t="s">
        <v>1622</v>
      </c>
    </row>
    <row r="10" spans="1:3" ht="30" customHeight="1" x14ac:dyDescent="0.25">
      <c r="A10" s="6" t="s">
        <v>1623</v>
      </c>
      <c r="B10" s="6" t="s">
        <v>1624</v>
      </c>
      <c r="C10" s="40" t="s">
        <v>1625</v>
      </c>
    </row>
    <row r="11" spans="1:3" ht="30" customHeight="1" x14ac:dyDescent="0.25">
      <c r="A11" s="6" t="s">
        <v>1626</v>
      </c>
      <c r="B11" s="6" t="s">
        <v>1627</v>
      </c>
      <c r="C11" s="40" t="s">
        <v>1628</v>
      </c>
    </row>
    <row r="12" spans="1:3" ht="30" customHeight="1" x14ac:dyDescent="0.25">
      <c r="A12" s="6" t="s">
        <v>1629</v>
      </c>
      <c r="B12" s="6" t="s">
        <v>1630</v>
      </c>
      <c r="C12" s="40" t="s">
        <v>1631</v>
      </c>
    </row>
    <row r="13" spans="1:3" ht="30" customHeight="1" x14ac:dyDescent="0.25">
      <c r="A13" s="6" t="s">
        <v>1632</v>
      </c>
      <c r="B13" s="6" t="s">
        <v>1633</v>
      </c>
      <c r="C13" s="40" t="s">
        <v>1634</v>
      </c>
    </row>
  </sheetData>
  <mergeCells count="2">
    <mergeCell ref="A1:C1"/>
    <mergeCell ref="A2:C2"/>
  </mergeCells>
  <hyperlinks>
    <hyperlink ref="C4" r:id="rId1" xr:uid="{00000000-0004-0000-1000-000000000000}"/>
    <hyperlink ref="C5" r:id="rId2" xr:uid="{00000000-0004-0000-1000-000001000000}"/>
    <hyperlink ref="C6" r:id="rId3" xr:uid="{00000000-0004-0000-1000-000002000000}"/>
    <hyperlink ref="C7" r:id="rId4" xr:uid="{00000000-0004-0000-1000-000003000000}"/>
    <hyperlink ref="C8" r:id="rId5" xr:uid="{00000000-0004-0000-1000-000004000000}"/>
    <hyperlink ref="C9" r:id="rId6" xr:uid="{00000000-0004-0000-1000-000005000000}"/>
    <hyperlink ref="C10" r:id="rId7" xr:uid="{00000000-0004-0000-1000-000006000000}"/>
    <hyperlink ref="C11" r:id="rId8" xr:uid="{00000000-0004-0000-1000-000007000000}"/>
    <hyperlink ref="C12" r:id="rId9" xr:uid="{00000000-0004-0000-1000-000008000000}"/>
    <hyperlink ref="C13" r:id="rId10" xr:uid="{00000000-0004-0000-1000-000009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INÍCIO</vt:lpstr>
      <vt:lpstr>Listas</vt:lpstr>
      <vt:lpstr>Nível 1-100</vt:lpstr>
      <vt:lpstr>Rota por Fase</vt:lpstr>
      <vt:lpstr>Skills &amp; Supports</vt:lpstr>
      <vt:lpstr>Gear</vt:lpstr>
      <vt:lpstr>Spirit Planner</vt:lpstr>
      <vt:lpstr>Companions &amp; Beasts</vt:lpstr>
      <vt:lpstr>Ascendência &amp; Árvore</vt:lpstr>
      <vt:lpstr>Quests</vt:lpstr>
      <vt:lpstr>Tricks Pro</vt:lpstr>
      <vt:lpstr>Diagnóstico</vt:lpstr>
      <vt:lpstr>Atlas</vt:lpstr>
      <vt:lpstr>Otimizações &amp; Meta</vt:lpstr>
      <vt:lpstr>Uniques</vt:lpstr>
      <vt:lpstr>Passivas &amp; Itens</vt:lpstr>
      <vt:lpstr>Fontes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Renan Aparecido da Silva</cp:lastModifiedBy>
  <dcterms:created xsi:type="dcterms:W3CDTF">2026-09-15T18:03:52Z</dcterms:created>
  <dcterms:modified xsi:type="dcterms:W3CDTF">2026-09-15T18:04:07Z</dcterms:modified>
</cp:coreProperties>
</file>